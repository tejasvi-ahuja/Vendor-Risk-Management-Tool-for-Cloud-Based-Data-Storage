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ahuja\Desktop\Risk Assesment on Cloud\"/>
    </mc:Choice>
  </mc:AlternateContent>
  <xr:revisionPtr revIDLastSave="0" documentId="8_{0E1913AE-F789-4694-A454-6E654592C215}" xr6:coauthVersionLast="47" xr6:coauthVersionMax="47" xr10:uidLastSave="{00000000-0000-0000-0000-000000000000}"/>
  <bookViews>
    <workbookView xWindow="57480" yWindow="-8445" windowWidth="29040" windowHeight="15840" tabRatio="854" xr2:uid="{00000000-000D-0000-FFFF-FFFF00000000}"/>
  </bookViews>
  <sheets>
    <sheet name="Risk Likelihood" sheetId="46" r:id="rId1"/>
    <sheet name="Impact Definition" sheetId="45" r:id="rId2"/>
    <sheet name=" Risk Appetite" sheetId="52" r:id="rId3"/>
    <sheet name="Mitigation Descriptions" sheetId="48" r:id="rId4"/>
    <sheet name="Documentation Provided " sheetId="50" r:id="rId5"/>
    <sheet name="Summary dashboard" sheetId="54" r:id="rId6"/>
    <sheet name="VLookup" sheetId="51" r:id="rId7"/>
  </sheets>
  <externalReferences>
    <externalReference r:id="rId8"/>
  </externalReferences>
  <definedNames>
    <definedName name="_xlnm._FilterDatabase" localSheetId="2" hidden="1">' Risk Appetite'!$B$7:$H$17</definedName>
    <definedName name="ans_scores">'[1]EDIT-CFG'!$A$4:$A$10</definedName>
    <definedName name="dd" localSheetId="4">#REF!</definedName>
    <definedName name="dd" localSheetId="3">#REF!</definedName>
    <definedName name="dd" localSheetId="5">#REF!</definedName>
    <definedName name="dd">#REF!</definedName>
    <definedName name="kk" localSheetId="4">#REF!</definedName>
    <definedName name="kk" localSheetId="3">#REF!</definedName>
    <definedName name="kk" localSheetId="5">#REF!</definedName>
    <definedName name="kk">#REF!</definedName>
    <definedName name="_xlnm.Print_Area" localSheetId="2">' Risk Appetite'!$A$5:$I$53</definedName>
    <definedName name="_xlnm.Print_Area" localSheetId="3">'Mitigation Descriptions'!$B$3:$G$51</definedName>
    <definedName name="s_best" localSheetId="4">#REF!</definedName>
    <definedName name="s_best" localSheetId="3">#REF!</definedName>
    <definedName name="s_best" localSheetId="5">#REF!</definedName>
    <definedName name="s_best">#REF!</definedName>
    <definedName name="s_better" localSheetId="4">#REF!</definedName>
    <definedName name="s_better" localSheetId="3">#REF!</definedName>
    <definedName name="s_better" localSheetId="5">#REF!</definedName>
    <definedName name="s_better">#REF!</definedName>
    <definedName name="s_choices" localSheetId="4">#REF!</definedName>
    <definedName name="s_choices" localSheetId="3">#REF!</definedName>
    <definedName name="s_choices" localSheetId="5">#REF!</definedName>
    <definedName name="s_choices">#REF!</definedName>
    <definedName name="s_choices2" localSheetId="4">#REF!</definedName>
    <definedName name="s_choices2" localSheetId="3">#REF!</definedName>
    <definedName name="s_choices2" localSheetId="5">#REF!</definedName>
    <definedName name="s_choices2">#REF!</definedName>
    <definedName name="s_det" localSheetId="4">#REF!</definedName>
    <definedName name="s_det" localSheetId="3">#REF!</definedName>
    <definedName name="s_det" localSheetId="5">#REF!</definedName>
    <definedName name="s_det">#REF!</definedName>
    <definedName name="s_exclude" localSheetId="4">#REF!</definedName>
    <definedName name="s_exclude" localSheetId="3">#REF!</definedName>
    <definedName name="s_exclude" localSheetId="5">#REF!</definedName>
    <definedName name="s_exclude">#REF!</definedName>
    <definedName name="s_good" localSheetId="4">#REF!</definedName>
    <definedName name="s_good" localSheetId="3">#REF!</definedName>
    <definedName name="s_good" localSheetId="5">#REF!</definedName>
    <definedName name="s_good">#REF!</definedName>
    <definedName name="s_neu" localSheetId="4">#REF!</definedName>
    <definedName name="s_neu" localSheetId="3">#REF!</definedName>
    <definedName name="s_neu" localSheetId="5">#REF!</definedName>
    <definedName name="s_neu">#REF!</definedName>
    <definedName name="s_neutral" localSheetId="4">#REF!</definedName>
    <definedName name="s_neutral" localSheetId="3">#REF!</definedName>
    <definedName name="s_neutral" localSheetId="5">#REF!</definedName>
    <definedName name="s_neutral">#REF!</definedName>
    <definedName name="s_poor" localSheetId="4">#REF!</definedName>
    <definedName name="s_poor" localSheetId="3">#REF!</definedName>
    <definedName name="s_poor" localSheetId="5">#REF!</definedName>
    <definedName name="s_poor">#REF!</definedName>
    <definedName name="s_sup" localSheetId="4">#REF!</definedName>
    <definedName name="s_sup" localSheetId="3">#REF!</definedName>
    <definedName name="s_sup" localSheetId="5">#REF!</definedName>
    <definedName name="s_s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0" i="52" l="1"/>
  <c r="H23" i="52"/>
  <c r="H24" i="52"/>
  <c r="H25" i="52"/>
  <c r="H26" i="52"/>
  <c r="H27" i="52"/>
  <c r="H30" i="52"/>
  <c r="H31" i="52"/>
  <c r="H33" i="52"/>
  <c r="H34" i="52"/>
  <c r="H35" i="52"/>
  <c r="H36" i="52"/>
  <c r="H37" i="52"/>
  <c r="H38" i="52"/>
  <c r="H39" i="52"/>
  <c r="H40" i="52"/>
  <c r="H43" i="52"/>
  <c r="H44" i="52"/>
  <c r="H45" i="52"/>
  <c r="H46" i="52"/>
  <c r="H48" i="52"/>
  <c r="H49" i="52"/>
  <c r="H50" i="52"/>
  <c r="H51" i="52"/>
  <c r="H52" i="52"/>
  <c r="L49" i="50" l="1"/>
  <c r="AA49" i="50" s="1"/>
  <c r="M49" i="50"/>
  <c r="AB49" i="50"/>
  <c r="L48" i="50"/>
  <c r="M48" i="50"/>
  <c r="AB48" i="50"/>
  <c r="L47" i="50"/>
  <c r="M47" i="50"/>
  <c r="AB47" i="50"/>
  <c r="L46" i="50"/>
  <c r="AA46" i="50" s="1"/>
  <c r="M46" i="50"/>
  <c r="AB46" i="50"/>
  <c r="L45" i="50"/>
  <c r="AA45" i="50" s="1"/>
  <c r="M45" i="50"/>
  <c r="AB45" i="50"/>
  <c r="L44" i="50"/>
  <c r="M44" i="50"/>
  <c r="AB44" i="50"/>
  <c r="L42" i="50"/>
  <c r="M42" i="50"/>
  <c r="AB42" i="50"/>
  <c r="L41" i="50"/>
  <c r="AA41" i="50" s="1"/>
  <c r="M41" i="50"/>
  <c r="AB41" i="50"/>
  <c r="L40" i="50"/>
  <c r="AA40" i="50" s="1"/>
  <c r="M40" i="50"/>
  <c r="AB40" i="50"/>
  <c r="L39" i="50"/>
  <c r="M39" i="50"/>
  <c r="AB39" i="50"/>
  <c r="L38" i="50"/>
  <c r="M38" i="50"/>
  <c r="AB38" i="50"/>
  <c r="L37" i="50"/>
  <c r="AA37" i="50" s="1"/>
  <c r="M37" i="50"/>
  <c r="AB37" i="50"/>
  <c r="L36" i="50"/>
  <c r="AA36" i="50" s="1"/>
  <c r="M36" i="50"/>
  <c r="AB36" i="50"/>
  <c r="L35" i="50"/>
  <c r="M35" i="50"/>
  <c r="AB35" i="50"/>
  <c r="L34" i="50"/>
  <c r="M34" i="50"/>
  <c r="AB34" i="50"/>
  <c r="L33" i="50"/>
  <c r="AA33" i="50" s="1"/>
  <c r="M33" i="50"/>
  <c r="AB33" i="50"/>
  <c r="L32" i="50"/>
  <c r="AA32" i="50" s="1"/>
  <c r="M32" i="50"/>
  <c r="AB32" i="50"/>
  <c r="L31" i="50"/>
  <c r="M31" i="50"/>
  <c r="AB31" i="50"/>
  <c r="L30" i="50"/>
  <c r="M30" i="50"/>
  <c r="AB30" i="50"/>
  <c r="L29" i="50"/>
  <c r="AA29" i="50" s="1"/>
  <c r="M29" i="50"/>
  <c r="AB29" i="50"/>
  <c r="L28" i="50"/>
  <c r="AA28" i="50" s="1"/>
  <c r="M28" i="50"/>
  <c r="AB28" i="50"/>
  <c r="L27" i="50"/>
  <c r="M27" i="50"/>
  <c r="AB27" i="50"/>
  <c r="L26" i="50"/>
  <c r="M26" i="50"/>
  <c r="AB26" i="50"/>
  <c r="L25" i="50"/>
  <c r="AA25" i="50" s="1"/>
  <c r="M25" i="50"/>
  <c r="AB25" i="50"/>
  <c r="L23" i="50"/>
  <c r="AA23" i="50" s="1"/>
  <c r="M23" i="50"/>
  <c r="AB23" i="50"/>
  <c r="L22" i="50"/>
  <c r="M22" i="50"/>
  <c r="AB22" i="50"/>
  <c r="L21" i="50"/>
  <c r="M21" i="50"/>
  <c r="AB21" i="50"/>
  <c r="L20" i="50"/>
  <c r="AA20" i="50" s="1"/>
  <c r="M20" i="50"/>
  <c r="AB20" i="50"/>
  <c r="L19" i="50"/>
  <c r="AA19" i="50" s="1"/>
  <c r="M19" i="50"/>
  <c r="AB19" i="50"/>
  <c r="L18" i="50"/>
  <c r="M18" i="50"/>
  <c r="AB18" i="50"/>
  <c r="L17" i="50"/>
  <c r="M17" i="50"/>
  <c r="AB17" i="50"/>
  <c r="L16" i="50"/>
  <c r="AA16" i="50" s="1"/>
  <c r="M16" i="50"/>
  <c r="AB16" i="50"/>
  <c r="L14" i="50"/>
  <c r="M14" i="50"/>
  <c r="AB14" i="50"/>
  <c r="L13" i="50"/>
  <c r="M13" i="50"/>
  <c r="AB13" i="50"/>
  <c r="L12" i="50"/>
  <c r="M12" i="50"/>
  <c r="AB12" i="50"/>
  <c r="L11" i="50"/>
  <c r="AA11" i="50" s="1"/>
  <c r="M11" i="50"/>
  <c r="AB11" i="50"/>
  <c r="L10" i="50"/>
  <c r="AA10" i="50" s="1"/>
  <c r="M10" i="50"/>
  <c r="AB10" i="50"/>
  <c r="L9" i="50"/>
  <c r="M9" i="50"/>
  <c r="AB9" i="50"/>
  <c r="L8" i="50"/>
  <c r="M8" i="50"/>
  <c r="AB8" i="50"/>
  <c r="L7" i="50"/>
  <c r="AA7" i="50" s="1"/>
  <c r="M7" i="50"/>
  <c r="AB7" i="50"/>
  <c r="L6" i="50"/>
  <c r="AA6" i="50" s="1"/>
  <c r="M6" i="50"/>
  <c r="AB6" i="50"/>
  <c r="L5" i="50"/>
  <c r="M5" i="50"/>
  <c r="AB5" i="50"/>
  <c r="AA43" i="50"/>
  <c r="N43" i="50" s="1"/>
  <c r="AA24" i="50"/>
  <c r="N24" i="50" s="1"/>
  <c r="AA15" i="50"/>
  <c r="N15" i="50"/>
  <c r="AC15" i="50"/>
  <c r="AC24" i="50"/>
  <c r="AC43" i="50"/>
  <c r="AB15" i="50"/>
  <c r="AB24" i="50"/>
  <c r="AB43" i="50"/>
  <c r="M8" i="48"/>
  <c r="AC8" i="48" s="1"/>
  <c r="N8" i="48"/>
  <c r="M7" i="48"/>
  <c r="N7" i="48"/>
  <c r="AD7" i="48" s="1"/>
  <c r="Y7" i="48"/>
  <c r="Z7" i="48"/>
  <c r="AA17" i="48"/>
  <c r="AA26" i="48"/>
  <c r="AA45" i="48"/>
  <c r="Z9" i="48"/>
  <c r="Z10" i="48"/>
  <c r="Z11" i="48"/>
  <c r="Z12" i="48"/>
  <c r="Z13" i="48"/>
  <c r="Z14" i="48"/>
  <c r="Z15" i="48"/>
  <c r="Z16" i="48"/>
  <c r="Z17" i="48"/>
  <c r="Z18" i="48"/>
  <c r="Z19" i="48"/>
  <c r="Z20" i="48"/>
  <c r="Z21" i="48"/>
  <c r="Z22" i="48"/>
  <c r="Z23" i="48"/>
  <c r="Z24" i="48"/>
  <c r="Z25" i="48"/>
  <c r="Z26" i="48"/>
  <c r="Z27" i="48"/>
  <c r="Z28" i="48"/>
  <c r="Z29" i="48"/>
  <c r="Z30" i="48"/>
  <c r="Z31" i="48"/>
  <c r="Z32" i="48"/>
  <c r="Z33" i="48"/>
  <c r="Z34" i="48"/>
  <c r="Z35" i="48"/>
  <c r="Z36" i="48"/>
  <c r="Z37" i="48"/>
  <c r="Z38" i="48"/>
  <c r="Z39" i="48"/>
  <c r="Z40" i="48"/>
  <c r="Z41" i="48"/>
  <c r="Z42" i="48"/>
  <c r="Z43" i="48"/>
  <c r="Z44" i="48"/>
  <c r="Z45" i="48"/>
  <c r="Z46" i="48"/>
  <c r="Z47" i="48"/>
  <c r="Z48" i="48"/>
  <c r="Z49" i="48"/>
  <c r="Z50" i="48"/>
  <c r="Z51" i="48"/>
  <c r="Z8" i="48"/>
  <c r="Y8" i="48"/>
  <c r="AA8" i="48" s="1"/>
  <c r="G8" i="48" s="1"/>
  <c r="Y9" i="48"/>
  <c r="Y10" i="48"/>
  <c r="AA10" i="48" s="1"/>
  <c r="G10" i="48" s="1"/>
  <c r="M10" i="48" s="1"/>
  <c r="AC10" i="48" s="1"/>
  <c r="Y11" i="48"/>
  <c r="AA11" i="48" s="1"/>
  <c r="G11" i="48" s="1"/>
  <c r="M11" i="48" s="1"/>
  <c r="Y12" i="48"/>
  <c r="AA12" i="48" s="1"/>
  <c r="G12" i="48" s="1"/>
  <c r="M12" i="48" s="1"/>
  <c r="AC12" i="48" s="1"/>
  <c r="Y13" i="48"/>
  <c r="AA13" i="48" s="1"/>
  <c r="G13" i="48" s="1"/>
  <c r="M13" i="48" s="1"/>
  <c r="Y14" i="48"/>
  <c r="AA14" i="48" s="1"/>
  <c r="G14" i="48" s="1"/>
  <c r="M14" i="48" s="1"/>
  <c r="Y15" i="48"/>
  <c r="AA15" i="48" s="1"/>
  <c r="G15" i="48" s="1"/>
  <c r="M15" i="48" s="1"/>
  <c r="Y16" i="48"/>
  <c r="AA16" i="48" s="1"/>
  <c r="G16" i="48" s="1"/>
  <c r="M16" i="48" s="1"/>
  <c r="Y17" i="48"/>
  <c r="Y18" i="48"/>
  <c r="AA18" i="48" s="1"/>
  <c r="G18" i="48" s="1"/>
  <c r="M18" i="48" s="1"/>
  <c r="AC18" i="48" s="1"/>
  <c r="Y19" i="48"/>
  <c r="AA19" i="48" s="1"/>
  <c r="G19" i="48" s="1"/>
  <c r="M19" i="48" s="1"/>
  <c r="Y20" i="48"/>
  <c r="AA20" i="48" s="1"/>
  <c r="G20" i="48" s="1"/>
  <c r="M20" i="48" s="1"/>
  <c r="Y21" i="48"/>
  <c r="AA21" i="48" s="1"/>
  <c r="G21" i="48" s="1"/>
  <c r="M21" i="48" s="1"/>
  <c r="Y22" i="48"/>
  <c r="AA22" i="48" s="1"/>
  <c r="G22" i="48" s="1"/>
  <c r="M22" i="48" s="1"/>
  <c r="AC22" i="48" s="1"/>
  <c r="Y23" i="48"/>
  <c r="AA23" i="48" s="1"/>
  <c r="G23" i="48" s="1"/>
  <c r="M23" i="48" s="1"/>
  <c r="Y24" i="48"/>
  <c r="AA24" i="48" s="1"/>
  <c r="G24" i="48" s="1"/>
  <c r="M24" i="48" s="1"/>
  <c r="Y25" i="48"/>
  <c r="Y26" i="48"/>
  <c r="Y27" i="48"/>
  <c r="AA27" i="48" s="1"/>
  <c r="G27" i="48" s="1"/>
  <c r="M27" i="48" s="1"/>
  <c r="Y28" i="48"/>
  <c r="AA28" i="48" s="1"/>
  <c r="G28" i="48" s="1"/>
  <c r="M28" i="48" s="1"/>
  <c r="Y29" i="48"/>
  <c r="AA29" i="48" s="1"/>
  <c r="G29" i="48" s="1"/>
  <c r="M29" i="48" s="1"/>
  <c r="Y30" i="48"/>
  <c r="AA30" i="48" s="1"/>
  <c r="G30" i="48" s="1"/>
  <c r="M30" i="48" s="1"/>
  <c r="AC30" i="48" s="1"/>
  <c r="Y31" i="48"/>
  <c r="AA31" i="48" s="1"/>
  <c r="G31" i="48" s="1"/>
  <c r="M31" i="48" s="1"/>
  <c r="Y32" i="48"/>
  <c r="AA32" i="48" s="1"/>
  <c r="G32" i="48" s="1"/>
  <c r="M32" i="48" s="1"/>
  <c r="Y33" i="48"/>
  <c r="Y34" i="48"/>
  <c r="AA34" i="48" s="1"/>
  <c r="G34" i="48" s="1"/>
  <c r="M34" i="48" s="1"/>
  <c r="Y35" i="48"/>
  <c r="AA35" i="48" s="1"/>
  <c r="G35" i="48" s="1"/>
  <c r="M35" i="48" s="1"/>
  <c r="Y36" i="48"/>
  <c r="AA36" i="48" s="1"/>
  <c r="G36" i="48" s="1"/>
  <c r="M36" i="48" s="1"/>
  <c r="AC36" i="48" s="1"/>
  <c r="Y37" i="48"/>
  <c r="AA37" i="48" s="1"/>
  <c r="G37" i="48" s="1"/>
  <c r="M37" i="48" s="1"/>
  <c r="Y38" i="48"/>
  <c r="AA38" i="48" s="1"/>
  <c r="G38" i="48" s="1"/>
  <c r="M38" i="48" s="1"/>
  <c r="AC38" i="48" s="1"/>
  <c r="Y39" i="48"/>
  <c r="AA39" i="48" s="1"/>
  <c r="G39" i="48" s="1"/>
  <c r="M39" i="48" s="1"/>
  <c r="Y40" i="48"/>
  <c r="AA40" i="48" s="1"/>
  <c r="G40" i="48" s="1"/>
  <c r="M40" i="48" s="1"/>
  <c r="Y41" i="48"/>
  <c r="Y42" i="48"/>
  <c r="AA42" i="48" s="1"/>
  <c r="G42" i="48" s="1"/>
  <c r="M42" i="48" s="1"/>
  <c r="Y43" i="48"/>
  <c r="AA43" i="48" s="1"/>
  <c r="G43" i="48" s="1"/>
  <c r="M43" i="48" s="1"/>
  <c r="Y44" i="48"/>
  <c r="AA44" i="48" s="1"/>
  <c r="G44" i="48" s="1"/>
  <c r="M44" i="48" s="1"/>
  <c r="Y45" i="48"/>
  <c r="Y46" i="48"/>
  <c r="AA46" i="48" s="1"/>
  <c r="G46" i="48" s="1"/>
  <c r="M46" i="48" s="1"/>
  <c r="AC46" i="48" s="1"/>
  <c r="Y47" i="48"/>
  <c r="AA47" i="48" s="1"/>
  <c r="G47" i="48" s="1"/>
  <c r="M47" i="48" s="1"/>
  <c r="Y48" i="48"/>
  <c r="AA48" i="48" s="1"/>
  <c r="G48" i="48" s="1"/>
  <c r="M48" i="48" s="1"/>
  <c r="Y49" i="48"/>
  <c r="Y50" i="48"/>
  <c r="AA50" i="48" s="1"/>
  <c r="G50" i="48" s="1"/>
  <c r="M50" i="48" s="1"/>
  <c r="AC50" i="48" s="1"/>
  <c r="Y51" i="48"/>
  <c r="AA51" i="48" s="1"/>
  <c r="G51" i="48" s="1"/>
  <c r="M51" i="48" s="1"/>
  <c r="N51" i="48"/>
  <c r="AD51" i="48" s="1"/>
  <c r="N50" i="48"/>
  <c r="AD50" i="48" s="1"/>
  <c r="N49" i="48"/>
  <c r="AD49" i="48" s="1"/>
  <c r="N48" i="48"/>
  <c r="AD48" i="48" s="1"/>
  <c r="N47" i="48"/>
  <c r="AD47" i="48" s="1"/>
  <c r="N46" i="48"/>
  <c r="AD46" i="48" s="1"/>
  <c r="N44" i="48"/>
  <c r="AD44" i="48" s="1"/>
  <c r="N43" i="48"/>
  <c r="AD43" i="48" s="1"/>
  <c r="N42" i="48"/>
  <c r="AD42" i="48" s="1"/>
  <c r="N41" i="48"/>
  <c r="AD41" i="48" s="1"/>
  <c r="N40" i="48"/>
  <c r="AD40" i="48" s="1"/>
  <c r="N39" i="48"/>
  <c r="AD39" i="48" s="1"/>
  <c r="N38" i="48"/>
  <c r="AD38" i="48" s="1"/>
  <c r="N37" i="48"/>
  <c r="AD37" i="48" s="1"/>
  <c r="N36" i="48"/>
  <c r="AD36" i="48" s="1"/>
  <c r="N35" i="48"/>
  <c r="AD35" i="48" s="1"/>
  <c r="N34" i="48"/>
  <c r="AD34" i="48" s="1"/>
  <c r="N33" i="48"/>
  <c r="AD33" i="48" s="1"/>
  <c r="N32" i="48"/>
  <c r="AD32" i="48" s="1"/>
  <c r="N31" i="48"/>
  <c r="AD31" i="48" s="1"/>
  <c r="N30" i="48"/>
  <c r="AD30" i="48" s="1"/>
  <c r="N29" i="48"/>
  <c r="AD29" i="48" s="1"/>
  <c r="N28" i="48"/>
  <c r="AD28" i="48" s="1"/>
  <c r="N27" i="48"/>
  <c r="AD27" i="48" s="1"/>
  <c r="N25" i="48"/>
  <c r="AD25" i="48" s="1"/>
  <c r="N24" i="48"/>
  <c r="AD24" i="48" s="1"/>
  <c r="N23" i="48"/>
  <c r="AD23" i="48" s="1"/>
  <c r="N22" i="48"/>
  <c r="AD22" i="48" s="1"/>
  <c r="N21" i="48"/>
  <c r="AD21" i="48" s="1"/>
  <c r="N20" i="48"/>
  <c r="AD20" i="48" s="1"/>
  <c r="N19" i="48"/>
  <c r="AD19" i="48" s="1"/>
  <c r="N18" i="48"/>
  <c r="AD18" i="48" s="1"/>
  <c r="N16" i="48"/>
  <c r="AD16" i="48" s="1"/>
  <c r="N15" i="48"/>
  <c r="AD15" i="48" s="1"/>
  <c r="N14" i="48"/>
  <c r="AD14" i="48" s="1"/>
  <c r="N13" i="48"/>
  <c r="AD13" i="48" s="1"/>
  <c r="N12" i="48"/>
  <c r="AD12" i="48" s="1"/>
  <c r="N11" i="48"/>
  <c r="AD11" i="48" s="1"/>
  <c r="N10" i="48"/>
  <c r="AD10" i="48" s="1"/>
  <c r="N9" i="48"/>
  <c r="AD9" i="48" s="1"/>
  <c r="B52" i="54"/>
  <c r="N45" i="48"/>
  <c r="AD45" i="48" s="1"/>
  <c r="M45" i="48"/>
  <c r="AC45" i="48" s="1"/>
  <c r="N26" i="48"/>
  <c r="AD26" i="48" s="1"/>
  <c r="M26" i="48"/>
  <c r="AC26" i="48" s="1"/>
  <c r="N17" i="48"/>
  <c r="AD17" i="48" s="1"/>
  <c r="M17" i="48"/>
  <c r="B54" i="52"/>
  <c r="AB53" i="52"/>
  <c r="AA53" i="52"/>
  <c r="AK52" i="52"/>
  <c r="AJ52" i="52"/>
  <c r="AI52" i="52"/>
  <c r="AB52" i="52"/>
  <c r="AA52" i="52"/>
  <c r="AK51" i="52"/>
  <c r="AJ51" i="52"/>
  <c r="AI51" i="52"/>
  <c r="AB51" i="52"/>
  <c r="AA51" i="52"/>
  <c r="AC51" i="52" s="1"/>
  <c r="E49" i="54" s="1"/>
  <c r="AK50" i="52"/>
  <c r="AJ50" i="52"/>
  <c r="AI50" i="52"/>
  <c r="AB50" i="52"/>
  <c r="AA50" i="52"/>
  <c r="AK49" i="52"/>
  <c r="AJ49" i="52"/>
  <c r="AI49" i="52"/>
  <c r="AB49" i="52"/>
  <c r="AA49" i="52"/>
  <c r="AK48" i="52"/>
  <c r="AJ48" i="52"/>
  <c r="AI48" i="52"/>
  <c r="AB48" i="52"/>
  <c r="AA48" i="52"/>
  <c r="AK47" i="52"/>
  <c r="AJ47" i="52"/>
  <c r="AI47" i="52"/>
  <c r="AB47" i="52"/>
  <c r="AA47" i="52"/>
  <c r="AK46" i="52"/>
  <c r="AJ46" i="52"/>
  <c r="AI46" i="52"/>
  <c r="AB46" i="52"/>
  <c r="AA46" i="52"/>
  <c r="AC46" i="52" s="1"/>
  <c r="AK45" i="52"/>
  <c r="AJ45" i="52"/>
  <c r="AI45" i="52"/>
  <c r="AB45" i="52"/>
  <c r="AA45" i="52"/>
  <c r="AK44" i="52"/>
  <c r="AJ44" i="52"/>
  <c r="AI44" i="52"/>
  <c r="AB44" i="52"/>
  <c r="AA44" i="52"/>
  <c r="AK43" i="52"/>
  <c r="AJ43" i="52"/>
  <c r="AI43" i="52"/>
  <c r="AB43" i="52"/>
  <c r="AA43" i="52"/>
  <c r="AC43" i="52" s="1"/>
  <c r="E41" i="54" s="1"/>
  <c r="AK42" i="52"/>
  <c r="AJ42" i="52"/>
  <c r="AI42" i="52"/>
  <c r="AB42" i="52"/>
  <c r="AA42" i="52"/>
  <c r="AK41" i="52"/>
  <c r="AJ41" i="52"/>
  <c r="AI41" i="52"/>
  <c r="AB41" i="52"/>
  <c r="AA41" i="52"/>
  <c r="AK40" i="52"/>
  <c r="AJ40" i="52"/>
  <c r="AI40" i="52"/>
  <c r="AB40" i="52"/>
  <c r="AA40" i="52"/>
  <c r="AK39" i="52"/>
  <c r="AJ39" i="52"/>
  <c r="AI39" i="52"/>
  <c r="AB39" i="52"/>
  <c r="AA39" i="52"/>
  <c r="AK38" i="52"/>
  <c r="AJ38" i="52"/>
  <c r="AI38" i="52"/>
  <c r="AB38" i="52"/>
  <c r="AA38" i="52"/>
  <c r="AK37" i="52"/>
  <c r="AJ37" i="52"/>
  <c r="AI37" i="52"/>
  <c r="AB37" i="52"/>
  <c r="AA37" i="52"/>
  <c r="AK36" i="52"/>
  <c r="AJ36" i="52"/>
  <c r="AI36" i="52"/>
  <c r="AB36" i="52"/>
  <c r="AA36" i="52"/>
  <c r="AK35" i="52"/>
  <c r="AJ35" i="52"/>
  <c r="AI35" i="52"/>
  <c r="AB35" i="52"/>
  <c r="AA35" i="52"/>
  <c r="AC35" i="52" s="1"/>
  <c r="E33" i="54" s="1"/>
  <c r="AK34" i="52"/>
  <c r="AJ34" i="52"/>
  <c r="AI34" i="52"/>
  <c r="AB34" i="52"/>
  <c r="AA34" i="52"/>
  <c r="AK33" i="52"/>
  <c r="AJ33" i="52"/>
  <c r="AI33" i="52"/>
  <c r="AB33" i="52"/>
  <c r="AA33" i="52"/>
  <c r="AK32" i="52"/>
  <c r="AJ32" i="52"/>
  <c r="AI32" i="52"/>
  <c r="AB32" i="52"/>
  <c r="AA32" i="52"/>
  <c r="AK31" i="52"/>
  <c r="AJ31" i="52"/>
  <c r="AI31" i="52"/>
  <c r="AB31" i="52"/>
  <c r="AA31" i="52"/>
  <c r="AK30" i="52"/>
  <c r="AJ30" i="52"/>
  <c r="AI30" i="52"/>
  <c r="AB30" i="52"/>
  <c r="AA30" i="52"/>
  <c r="AK29" i="52"/>
  <c r="AJ29" i="52"/>
  <c r="AI29" i="52"/>
  <c r="AB29" i="52"/>
  <c r="AA29" i="52"/>
  <c r="AK28" i="52"/>
  <c r="AJ28" i="52"/>
  <c r="AI28" i="52"/>
  <c r="AB28" i="52"/>
  <c r="AA28" i="52"/>
  <c r="AK27" i="52"/>
  <c r="AJ27" i="52"/>
  <c r="AI27" i="52"/>
  <c r="AB27" i="52"/>
  <c r="AA27" i="52"/>
  <c r="AC27" i="52" s="1"/>
  <c r="AK26" i="52"/>
  <c r="AJ26" i="52"/>
  <c r="AI26" i="52"/>
  <c r="AB26" i="52"/>
  <c r="AA26" i="52"/>
  <c r="AK25" i="52"/>
  <c r="AJ25" i="52"/>
  <c r="AI25" i="52"/>
  <c r="AB25" i="52"/>
  <c r="AA25" i="52"/>
  <c r="AK24" i="52"/>
  <c r="AJ24" i="52"/>
  <c r="AI24" i="52"/>
  <c r="AB24" i="52"/>
  <c r="AA24" i="52"/>
  <c r="AK23" i="52"/>
  <c r="AJ23" i="52"/>
  <c r="AI23" i="52"/>
  <c r="AB23" i="52"/>
  <c r="AA23" i="52"/>
  <c r="AK22" i="52"/>
  <c r="AJ22" i="52"/>
  <c r="AI22" i="52"/>
  <c r="AB22" i="52"/>
  <c r="AA22" i="52"/>
  <c r="AK21" i="52"/>
  <c r="AJ21" i="52"/>
  <c r="AI21" i="52"/>
  <c r="AB21" i="52"/>
  <c r="AA21" i="52"/>
  <c r="AK20" i="52"/>
  <c r="AJ20" i="52"/>
  <c r="AI20" i="52"/>
  <c r="AB20" i="52"/>
  <c r="AA20" i="52"/>
  <c r="AK19" i="52"/>
  <c r="AJ19" i="52"/>
  <c r="AI19" i="52"/>
  <c r="AB19" i="52"/>
  <c r="AA19" i="52"/>
  <c r="AK18" i="52"/>
  <c r="AJ18" i="52"/>
  <c r="AI18" i="52"/>
  <c r="AC18" i="52"/>
  <c r="AB18" i="52"/>
  <c r="AA18" i="52"/>
  <c r="AK17" i="52"/>
  <c r="AJ17" i="52"/>
  <c r="AI17" i="52"/>
  <c r="AB17" i="52"/>
  <c r="AA17" i="52"/>
  <c r="AK16" i="52"/>
  <c r="AJ16" i="52"/>
  <c r="AI16" i="52"/>
  <c r="AB16" i="52"/>
  <c r="AA16" i="52"/>
  <c r="AK15" i="52"/>
  <c r="AJ15" i="52"/>
  <c r="AI15" i="52"/>
  <c r="AB15" i="52"/>
  <c r="AA15" i="52"/>
  <c r="AK14" i="52"/>
  <c r="AJ14" i="52"/>
  <c r="AI14" i="52"/>
  <c r="AB14" i="52"/>
  <c r="AA14" i="52"/>
  <c r="AK13" i="52"/>
  <c r="AJ13" i="52"/>
  <c r="AI13" i="52"/>
  <c r="AB13" i="52"/>
  <c r="AA13" i="52"/>
  <c r="AK12" i="52"/>
  <c r="AJ12" i="52"/>
  <c r="AI12" i="52"/>
  <c r="AB12" i="52"/>
  <c r="AA12" i="52"/>
  <c r="AK11" i="52"/>
  <c r="AJ11" i="52"/>
  <c r="AI11" i="52"/>
  <c r="AB11" i="52"/>
  <c r="AA11" i="52"/>
  <c r="AK10" i="52"/>
  <c r="AJ10" i="52"/>
  <c r="AI10" i="52"/>
  <c r="AB10" i="52"/>
  <c r="AA10" i="52"/>
  <c r="AK9" i="52"/>
  <c r="AJ9" i="52"/>
  <c r="AI9" i="52"/>
  <c r="AB9" i="52"/>
  <c r="AA9" i="52"/>
  <c r="AI8" i="52"/>
  <c r="AJ8" i="52"/>
  <c r="AK8" i="52"/>
  <c r="AA8" i="52"/>
  <c r="AB8" i="52"/>
  <c r="Y52" i="48"/>
  <c r="Z52" i="48"/>
  <c r="B51" i="50"/>
  <c r="B53" i="48"/>
  <c r="AC25" i="50" l="1"/>
  <c r="AC33" i="50"/>
  <c r="AC37" i="50"/>
  <c r="AC11" i="50"/>
  <c r="AA49" i="48"/>
  <c r="G49" i="48" s="1"/>
  <c r="M49" i="48" s="1"/>
  <c r="AC49" i="48" s="1"/>
  <c r="AE49" i="48" s="1"/>
  <c r="P49" i="48" s="1"/>
  <c r="AA41" i="48"/>
  <c r="G41" i="48" s="1"/>
  <c r="M41" i="48" s="1"/>
  <c r="AA33" i="48"/>
  <c r="G33" i="48" s="1"/>
  <c r="M33" i="48" s="1"/>
  <c r="AA25" i="48"/>
  <c r="G25" i="48" s="1"/>
  <c r="M25" i="48" s="1"/>
  <c r="AA9" i="48"/>
  <c r="G9" i="48" s="1"/>
  <c r="M9" i="48" s="1"/>
  <c r="AC9" i="48" s="1"/>
  <c r="AE9" i="48" s="1"/>
  <c r="P9" i="48" s="1"/>
  <c r="AC34" i="52"/>
  <c r="E32" i="54" s="1"/>
  <c r="AC42" i="52"/>
  <c r="AC50" i="52"/>
  <c r="E48" i="54" s="1"/>
  <c r="AC33" i="52"/>
  <c r="E31" i="54" s="1"/>
  <c r="AC41" i="52"/>
  <c r="AC29" i="52"/>
  <c r="AC37" i="52"/>
  <c r="E35" i="54" s="1"/>
  <c r="AC45" i="52"/>
  <c r="E43" i="54" s="1"/>
  <c r="AC49" i="52"/>
  <c r="E47" i="54" s="1"/>
  <c r="AC47" i="52"/>
  <c r="AC28" i="52"/>
  <c r="H28" i="52" s="1"/>
  <c r="E26" i="54" s="1"/>
  <c r="AC36" i="52"/>
  <c r="E34" i="54" s="1"/>
  <c r="AC44" i="52"/>
  <c r="E42" i="54" s="1"/>
  <c r="AC52" i="52"/>
  <c r="E50" i="54" s="1"/>
  <c r="AC32" i="52"/>
  <c r="AC40" i="52"/>
  <c r="E38" i="54" s="1"/>
  <c r="AC48" i="52"/>
  <c r="E46" i="54" s="1"/>
  <c r="AC25" i="52"/>
  <c r="AC30" i="52"/>
  <c r="E28" i="54" s="1"/>
  <c r="AC38" i="52"/>
  <c r="E36" i="54" s="1"/>
  <c r="AC31" i="52"/>
  <c r="E29" i="54" s="1"/>
  <c r="AC39" i="52"/>
  <c r="E37" i="54" s="1"/>
  <c r="AC21" i="52"/>
  <c r="AC22" i="52"/>
  <c r="AC24" i="52"/>
  <c r="E22" i="54" s="1"/>
  <c r="AC20" i="52"/>
  <c r="E18" i="54" s="1"/>
  <c r="AC23" i="52"/>
  <c r="E21" i="54" s="1"/>
  <c r="AC26" i="52"/>
  <c r="E24" i="54" s="1"/>
  <c r="AC19" i="52"/>
  <c r="E23" i="54"/>
  <c r="AC46" i="50"/>
  <c r="N46" i="50" s="1"/>
  <c r="AC16" i="50"/>
  <c r="N16" i="50" s="1"/>
  <c r="AC10" i="50"/>
  <c r="N10" i="50" s="1"/>
  <c r="AA14" i="50"/>
  <c r="AC14" i="50" s="1"/>
  <c r="N14" i="50" s="1"/>
  <c r="AC6" i="50"/>
  <c r="N6" i="50" s="1"/>
  <c r="AC7" i="50"/>
  <c r="AC34" i="48"/>
  <c r="AE34" i="48" s="1"/>
  <c r="P34" i="48" s="1"/>
  <c r="AE18" i="48"/>
  <c r="P18" i="48" s="1"/>
  <c r="AC14" i="52"/>
  <c r="H14" i="52" s="1"/>
  <c r="E12" i="54" s="1"/>
  <c r="AC11" i="52"/>
  <c r="H11" i="52" s="1"/>
  <c r="E9" i="54" s="1"/>
  <c r="AC12" i="52"/>
  <c r="H12" i="52" s="1"/>
  <c r="E10" i="54" s="1"/>
  <c r="AC16" i="52"/>
  <c r="H16" i="52" s="1"/>
  <c r="E14" i="54" s="1"/>
  <c r="AC9" i="52"/>
  <c r="H9" i="52" s="1"/>
  <c r="E7" i="54" s="1"/>
  <c r="AC17" i="52"/>
  <c r="H17" i="52" s="1"/>
  <c r="E15" i="54" s="1"/>
  <c r="AC10" i="52"/>
  <c r="H10" i="52" s="1"/>
  <c r="E8" i="54" s="1"/>
  <c r="AC8" i="52"/>
  <c r="AC13" i="52"/>
  <c r="H13" i="52" s="1"/>
  <c r="E11" i="54" s="1"/>
  <c r="AC15" i="52"/>
  <c r="H15" i="52" s="1"/>
  <c r="E13" i="54" s="1"/>
  <c r="AC40" i="48"/>
  <c r="AE40" i="48" s="1"/>
  <c r="P40" i="48" s="1"/>
  <c r="AC32" i="48"/>
  <c r="AE32" i="48" s="1"/>
  <c r="P32" i="48" s="1"/>
  <c r="AC16" i="48"/>
  <c r="AE16" i="48" s="1"/>
  <c r="P16" i="48" s="1"/>
  <c r="AC47" i="48"/>
  <c r="AE47" i="48" s="1"/>
  <c r="P47" i="48" s="1"/>
  <c r="AC23" i="48"/>
  <c r="AE23" i="48" s="1"/>
  <c r="P23" i="48" s="1"/>
  <c r="AC25" i="48"/>
  <c r="AE25" i="48" s="1"/>
  <c r="P25" i="48" s="1"/>
  <c r="AC21" i="48"/>
  <c r="AE21" i="48" s="1"/>
  <c r="P21" i="48" s="1"/>
  <c r="AC14" i="48"/>
  <c r="AE14" i="48" s="1"/>
  <c r="P14" i="48" s="1"/>
  <c r="AC42" i="48"/>
  <c r="AE42" i="48" s="1"/>
  <c r="P42" i="48" s="1"/>
  <c r="AC44" i="48"/>
  <c r="AE44" i="48" s="1"/>
  <c r="P44" i="48" s="1"/>
  <c r="AC28" i="48"/>
  <c r="AE28" i="48" s="1"/>
  <c r="P28" i="48" s="1"/>
  <c r="AC20" i="48"/>
  <c r="AE20" i="48" s="1"/>
  <c r="P20" i="48" s="1"/>
  <c r="AC27" i="48"/>
  <c r="AE27" i="48" s="1"/>
  <c r="P27" i="48" s="1"/>
  <c r="AC39" i="48"/>
  <c r="AE39" i="48" s="1"/>
  <c r="P39" i="48" s="1"/>
  <c r="AA13" i="50"/>
  <c r="AC13" i="50" s="1"/>
  <c r="AC45" i="50"/>
  <c r="N45" i="50"/>
  <c r="AC51" i="48"/>
  <c r="AE51" i="48" s="1"/>
  <c r="P51" i="48" s="1"/>
  <c r="AE10" i="48"/>
  <c r="P10" i="48" s="1"/>
  <c r="AA9" i="50"/>
  <c r="AC9" i="50" s="1"/>
  <c r="AA27" i="50"/>
  <c r="AC27" i="50" s="1"/>
  <c r="AC32" i="50"/>
  <c r="N32" i="50"/>
  <c r="AC19" i="48"/>
  <c r="AE19" i="48" s="1"/>
  <c r="P19" i="48" s="1"/>
  <c r="AE46" i="48"/>
  <c r="P46" i="48" s="1"/>
  <c r="AA31" i="50"/>
  <c r="AC31" i="50" s="1"/>
  <c r="AE12" i="48"/>
  <c r="P12" i="48" s="1"/>
  <c r="AC23" i="50"/>
  <c r="N23" i="50" s="1"/>
  <c r="AC17" i="48"/>
  <c r="AE17" i="48"/>
  <c r="AC43" i="48"/>
  <c r="AE43" i="48" s="1"/>
  <c r="P43" i="48" s="1"/>
  <c r="AC31" i="48"/>
  <c r="AE31" i="48" s="1"/>
  <c r="P31" i="48" s="1"/>
  <c r="AE22" i="48"/>
  <c r="P22" i="48" s="1"/>
  <c r="AA39" i="50"/>
  <c r="AC13" i="48"/>
  <c r="AE13" i="48" s="1"/>
  <c r="P13" i="48" s="1"/>
  <c r="AC41" i="48"/>
  <c r="AE41" i="48" s="1"/>
  <c r="P41" i="48" s="1"/>
  <c r="AC37" i="48"/>
  <c r="AE37" i="48"/>
  <c r="P37" i="48" s="1"/>
  <c r="AC29" i="48"/>
  <c r="AE29" i="48" s="1"/>
  <c r="P29" i="48" s="1"/>
  <c r="AE30" i="48"/>
  <c r="P30" i="48" s="1"/>
  <c r="AA5" i="50"/>
  <c r="N11" i="50"/>
  <c r="AC19" i="50"/>
  <c r="N19" i="50" s="1"/>
  <c r="N37" i="50"/>
  <c r="AC42" i="50"/>
  <c r="AA48" i="50"/>
  <c r="AC48" i="50" s="1"/>
  <c r="AA18" i="50"/>
  <c r="AC18" i="50" s="1"/>
  <c r="N25" i="50"/>
  <c r="AC40" i="50"/>
  <c r="N40" i="50" s="1"/>
  <c r="AC33" i="48"/>
  <c r="AE33" i="48" s="1"/>
  <c r="P33" i="48" s="1"/>
  <c r="AC36" i="50"/>
  <c r="N36" i="50" s="1"/>
  <c r="AC15" i="48"/>
  <c r="AE15" i="48" s="1"/>
  <c r="P15" i="48" s="1"/>
  <c r="AC24" i="48"/>
  <c r="AE24" i="48" s="1"/>
  <c r="P24" i="48" s="1"/>
  <c r="AE50" i="48"/>
  <c r="P50" i="48" s="1"/>
  <c r="AD8" i="48"/>
  <c r="AE8" i="48" s="1"/>
  <c r="P8" i="48" s="1"/>
  <c r="N7" i="50"/>
  <c r="AC20" i="50"/>
  <c r="N20" i="50" s="1"/>
  <c r="AA35" i="50"/>
  <c r="AC11" i="48"/>
  <c r="AE11" i="48" s="1"/>
  <c r="P11" i="48" s="1"/>
  <c r="AC35" i="48"/>
  <c r="AE35" i="48" s="1"/>
  <c r="P35" i="48" s="1"/>
  <c r="AE38" i="48"/>
  <c r="P38" i="48" s="1"/>
  <c r="AA22" i="50"/>
  <c r="AC22" i="50" s="1"/>
  <c r="AC28" i="50"/>
  <c r="N28" i="50"/>
  <c r="AC41" i="50"/>
  <c r="N41" i="50" s="1"/>
  <c r="AE36" i="48"/>
  <c r="P36" i="48" s="1"/>
  <c r="AC48" i="48"/>
  <c r="AE48" i="48" s="1"/>
  <c r="P48" i="48" s="1"/>
  <c r="AE26" i="48"/>
  <c r="AC29" i="50"/>
  <c r="N29" i="50" s="1"/>
  <c r="N33" i="50"/>
  <c r="AA44" i="50"/>
  <c r="AC49" i="50"/>
  <c r="N49" i="50" s="1"/>
  <c r="AA8" i="50"/>
  <c r="AC8" i="50" s="1"/>
  <c r="AA12" i="50"/>
  <c r="AC12" i="50" s="1"/>
  <c r="AA17" i="50"/>
  <c r="AA21" i="50"/>
  <c r="AA26" i="50"/>
  <c r="AC26" i="50" s="1"/>
  <c r="AA30" i="50"/>
  <c r="AA34" i="50"/>
  <c r="AC34" i="50" s="1"/>
  <c r="AA38" i="50"/>
  <c r="AC38" i="50" s="1"/>
  <c r="AA42" i="50"/>
  <c r="AA47" i="50"/>
  <c r="AE45" i="48"/>
  <c r="AA7" i="48"/>
  <c r="G7" i="48" s="1"/>
  <c r="AC7" i="48"/>
  <c r="AE7" i="48" s="1"/>
  <c r="P7" i="48" s="1"/>
  <c r="H22" i="52" l="1"/>
  <c r="E20" i="54" s="1"/>
  <c r="H21" i="52"/>
  <c r="E19" i="54" s="1"/>
  <c r="H47" i="52"/>
  <c r="E45" i="54" s="1"/>
  <c r="E40" i="54"/>
  <c r="H42" i="52"/>
  <c r="H41" i="52"/>
  <c r="E39" i="54" s="1"/>
  <c r="H32" i="52"/>
  <c r="E30" i="54" s="1"/>
  <c r="H29" i="52"/>
  <c r="E27" i="54" s="1"/>
  <c r="H19" i="52"/>
  <c r="E17" i="54" s="1"/>
  <c r="H8" i="52"/>
  <c r="E6" i="54" s="1"/>
  <c r="N38" i="50"/>
  <c r="N22" i="50"/>
  <c r="N18" i="50"/>
  <c r="N13" i="50"/>
  <c r="AC39" i="50"/>
  <c r="N39" i="50" s="1"/>
  <c r="N42" i="50"/>
  <c r="AC47" i="50"/>
  <c r="N47" i="50" s="1"/>
  <c r="N12" i="50"/>
  <c r="AC21" i="50"/>
  <c r="N21" i="50" s="1"/>
  <c r="N8" i="50"/>
  <c r="N9" i="50"/>
  <c r="N34" i="50"/>
  <c r="AC17" i="50"/>
  <c r="N17" i="50" s="1"/>
  <c r="AC35" i="50"/>
  <c r="N35" i="50" s="1"/>
  <c r="N26" i="50"/>
  <c r="AC44" i="50"/>
  <c r="N44" i="50" s="1"/>
  <c r="AC30" i="50"/>
  <c r="N30" i="50" s="1"/>
  <c r="N48" i="50"/>
  <c r="AC5" i="50"/>
  <c r="N5" i="50" s="1"/>
  <c r="N31" i="50"/>
  <c r="N27"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Stone</author>
  </authors>
  <commentList>
    <comment ref="I5" authorId="0" shapeId="0" xr:uid="{00000000-0006-0000-0400-000001000000}">
      <text>
        <r>
          <rPr>
            <b/>
            <sz val="9"/>
            <color indexed="81"/>
            <rFont val="Tahoma"/>
            <family val="2"/>
          </rPr>
          <t>Greg Stone:</t>
        </r>
        <r>
          <rPr>
            <sz val="9"/>
            <color indexed="81"/>
            <rFont val="Tahoma"/>
            <family val="2"/>
          </rPr>
          <t xml:space="preserve">
Manually add in any compensating cotrols here.  If left blank then  results will be calculated using the original Impact vs Likelihood ratings.</t>
        </r>
      </text>
    </comment>
    <comment ref="P5" authorId="0" shapeId="0" xr:uid="{00000000-0006-0000-0400-000002000000}">
      <text>
        <r>
          <rPr>
            <b/>
            <sz val="9"/>
            <color indexed="81"/>
            <rFont val="Tahoma"/>
            <family val="2"/>
          </rPr>
          <t>Greg Stone:</t>
        </r>
        <r>
          <rPr>
            <sz val="9"/>
            <color indexed="81"/>
            <rFont val="Tahoma"/>
            <family val="2"/>
          </rPr>
          <t xml:space="preserve">
Results are calculated automatically from the Likelihood vs Impact  result in column AA and matched against the range of lables in the Vlookup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Greg Stone</author>
  </authors>
  <commentList>
    <comment ref="E5" authorId="0" shapeId="0" xr:uid="{00000000-0006-0000-0600-000001000000}">
      <text>
        <r>
          <rPr>
            <b/>
            <sz val="9"/>
            <color indexed="81"/>
            <rFont val="Tahoma"/>
            <charset val="1"/>
          </rPr>
          <t>Greg Stone:</t>
        </r>
        <r>
          <rPr>
            <sz val="9"/>
            <color indexed="81"/>
            <rFont val="Tahoma"/>
            <charset val="1"/>
          </rPr>
          <t xml:space="preserve">
This column shows the Agreed organisation's risk tolerance as a datum.</t>
        </r>
      </text>
    </comment>
  </commentList>
</comments>
</file>

<file path=xl/sharedStrings.xml><?xml version="1.0" encoding="utf-8"?>
<sst xmlns="http://schemas.openxmlformats.org/spreadsheetml/2006/main" count="783" uniqueCount="271">
  <si>
    <t>Low</t>
  </si>
  <si>
    <t>Description</t>
  </si>
  <si>
    <t>Score</t>
  </si>
  <si>
    <t>Rating</t>
  </si>
  <si>
    <t>Definition</t>
  </si>
  <si>
    <t xml:space="preserve">                  Description of Impact</t>
  </si>
  <si>
    <t>Duration</t>
  </si>
  <si>
    <t>Organizational and operational scope</t>
  </si>
  <si>
    <t>Legal/ Compliance/ Environmental Impact</t>
  </si>
  <si>
    <t>Catastrophic</t>
  </si>
  <si>
    <t>Significant Recovery Period</t>
  </si>
  <si>
    <t>Severe</t>
  </si>
  <si>
    <t>Recoverable in the Long Term (i.e., 12-24 months)</t>
  </si>
  <si>
    <t>Serious</t>
  </si>
  <si>
    <t>Recoverable in the Short Term (i.e., 6-12 months)</t>
  </si>
  <si>
    <t>Moderate loss in 1 or more stakeholder groups</t>
  </si>
  <si>
    <t>Mild</t>
  </si>
  <si>
    <t>Temporary (i.e., less than 6 months)</t>
  </si>
  <si>
    <t>Limited to minor/short-term loss in 1 stakeholder group</t>
  </si>
  <si>
    <t>Minor or no change in asset. Absorbed by normal business operations - No measurable impact to support costs, productivity, or business commitments.</t>
  </si>
  <si>
    <t>Minimal Impact</t>
  </si>
  <si>
    <t>Likelihood Rating</t>
  </si>
  <si>
    <t>Consideration</t>
  </si>
  <si>
    <t>Probability</t>
  </si>
  <si>
    <t>Frequency</t>
  </si>
  <si>
    <t>Expected</t>
  </si>
  <si>
    <t>The risk event or circumstance is relatively certain to occur, or has occurred within the past 6 months</t>
  </si>
  <si>
    <t>90-100%</t>
  </si>
  <si>
    <t>Highly Likely</t>
  </si>
  <si>
    <t>The risk event or circumstance is highly likely to occur</t>
  </si>
  <si>
    <t>70-90%</t>
  </si>
  <si>
    <t>Likely</t>
  </si>
  <si>
    <t>The risk event or circumstance is more likely to occur than not</t>
  </si>
  <si>
    <t>50-70%</t>
  </si>
  <si>
    <t>Every 4 to 6 Years</t>
  </si>
  <si>
    <t>Not Likely</t>
  </si>
  <si>
    <t>The risk event or circumstance occurring is possible</t>
  </si>
  <si>
    <t>10-50%</t>
  </si>
  <si>
    <t>Slight</t>
  </si>
  <si>
    <t>The risk event or circumstance is only remotely probable</t>
  </si>
  <si>
    <t>&lt; 10%</t>
  </si>
  <si>
    <t>Risk Impact</t>
  </si>
  <si>
    <t>Risk Likelihood</t>
  </si>
  <si>
    <t>Risk Control Area</t>
  </si>
  <si>
    <t>Compensating Controls</t>
  </si>
  <si>
    <t>Mitigation Description</t>
  </si>
  <si>
    <t>Residual Risks</t>
  </si>
  <si>
    <t>Almost Quarterly</t>
  </si>
  <si>
    <t>Yearly</t>
  </si>
  <si>
    <t>Every 2 to 4 Years</t>
  </si>
  <si>
    <t>Every 7 Years and Beyond</t>
  </si>
  <si>
    <t>Severe or complete damage to asset or reputation e.g. externally visible and affects department's operation and citizen's confidence. Substantial support costs or business commitments canceled.</t>
  </si>
  <si>
    <t>Government-wide: Inability to continue operation globally</t>
  </si>
  <si>
    <t>Permanent loss of  stakeholder confidence  resulting in legal action, interruption in  operations as a whole</t>
  </si>
  <si>
    <t>Serious but not complete damage to asset or reputation e.g. externally visible and affects department's operation and citizen's confidence. Substantial support costs or business commitments canceled.</t>
  </si>
  <si>
    <t>2 or more departments/agencies Significant, ongoing interruptions to  operations within 2 or more departments/agencies</t>
  </si>
  <si>
    <t>Global restrictions on performing activities across agencies and departments</t>
  </si>
  <si>
    <t>Reputational impact on stakeholders (i.e., citizens, civil servants )</t>
  </si>
  <si>
    <t>Sustained operation degradation for citizens or preventing civil servant from meeting their SLA</t>
  </si>
  <si>
    <t>Prohibited from conducting operations  in certain departments or geographies.</t>
  </si>
  <si>
    <t>Significant fines or limitations in conducting operations  in certain departments or geographies.</t>
  </si>
  <si>
    <t>Moderate damage or loss, e.g. affects internal operation, cause increase in operational costs or reduction of SLA performance. Noticeable impact to support costs and productivity. No measurable business impact.</t>
  </si>
  <si>
    <t>Little damage or loss, e.g. affects internal operations  cannot measure increase in costs. No measurable impact, minor increases in support or infrastructure costs.</t>
  </si>
  <si>
    <t xml:space="preserve">1 department or agency affected </t>
  </si>
  <si>
    <t>1 or more department or agency:  Moderate impact within 1 or more department</t>
  </si>
  <si>
    <t>Limited actions against the government with limited effects on operations.</t>
  </si>
  <si>
    <t>Highly likely</t>
  </si>
  <si>
    <t>Not likely</t>
  </si>
  <si>
    <t>LIKELIHOOD</t>
  </si>
  <si>
    <t>IMPACT</t>
  </si>
  <si>
    <t>Very low</t>
  </si>
  <si>
    <t>Moderate</t>
  </si>
  <si>
    <t>High</t>
  </si>
  <si>
    <t>Very high</t>
  </si>
  <si>
    <t>1-5</t>
  </si>
  <si>
    <t>6-10</t>
  </si>
  <si>
    <t>11-15</t>
  </si>
  <si>
    <t>16-20</t>
  </si>
  <si>
    <t>21-25</t>
  </si>
  <si>
    <t>Risk</t>
  </si>
  <si>
    <t>LxI</t>
  </si>
  <si>
    <t>Code</t>
  </si>
  <si>
    <t>SUM</t>
  </si>
  <si>
    <t>Risk product</t>
  </si>
  <si>
    <t>Final Risk position</t>
  </si>
  <si>
    <t>Results</t>
  </si>
  <si>
    <t>Enterprise Cloud Risk Dashboard</t>
  </si>
  <si>
    <t>Ranking calcs</t>
  </si>
  <si>
    <t>Enterprise Risk Appetite</t>
  </si>
  <si>
    <t>Liklihood number</t>
  </si>
  <si>
    <t>Impact number</t>
  </si>
  <si>
    <t>Factored result</t>
  </si>
  <si>
    <t>RAW INPUT CALCS</t>
  </si>
  <si>
    <t>RAW+COMP CALCS</t>
  </si>
  <si>
    <r>
      <t>Cloud Candidate Risk Assessment -</t>
    </r>
    <r>
      <rPr>
        <b/>
        <i/>
        <sz val="24"/>
        <color theme="0"/>
        <rFont val="Calibri"/>
        <family val="2"/>
        <scheme val="minor"/>
      </rPr>
      <t xml:space="preserve"> [ name of proposed cloud option here]</t>
    </r>
  </si>
  <si>
    <t>RISK PRODUCT</t>
  </si>
  <si>
    <t>Lookup tables used in other sheets</t>
  </si>
  <si>
    <t>Ent Risk Tolerance</t>
  </si>
  <si>
    <t xml:space="preserve">Question </t>
  </si>
  <si>
    <t xml:space="preserve">Encryption and Key Management </t>
  </si>
  <si>
    <t>Do you have documented ownership for each stage of the lifecycle of encryption keys?</t>
  </si>
  <si>
    <t>Key Lifecycle Management &amp; Accountability</t>
  </si>
  <si>
    <t>Key Management Tools &amp; Vendor Risk</t>
  </si>
  <si>
    <t>Do you utilize any third party/open source/proprietary frameworks to manage encryption keys?</t>
  </si>
  <si>
    <t>Do you encrypt tenant data at rest within your environment?</t>
  </si>
  <si>
    <t>Do you leverage encryption to protect data and virtual machine images during transport?</t>
  </si>
  <si>
    <t>Do you support tenant-generated encryption keys?</t>
  </si>
  <si>
    <t>Data Encryption &amp; Data Security</t>
  </si>
  <si>
    <t>Data in Transit &amp; Communication Security</t>
  </si>
  <si>
    <t>Tenant-Controlled Key Management &amp; Access Control</t>
  </si>
  <si>
    <t>Encryption Governance &amp; Policy Compliance</t>
  </si>
  <si>
    <t>Do you have documentation for encryption management policies and procedures?</t>
  </si>
  <si>
    <t>Tracks ownership and responsibility for encryption keys at each stage of their lifecycle.</t>
  </si>
  <si>
    <t>Ensures secure management of keys through trusted third-party or open-source tools.</t>
  </si>
  <si>
    <t>Ensures tenant data is protected from unauthorized access, even if physical storage is compromised.</t>
  </si>
  <si>
    <t>Protects data during transport to prevent interception and tampering.</t>
  </si>
  <si>
    <t>Allows tenants to control encryption keys, enhancing privacy and security.</t>
  </si>
  <si>
    <t>Ensures compliance and secure management</t>
  </si>
  <si>
    <t>Do you have a capability to allow creation of unique encryption keys per tenant?</t>
  </si>
  <si>
    <t>Do you have a capability to manage encryption keys on behalf of tenants?</t>
  </si>
  <si>
    <t>Tenant Isolation &amp; Key Management</t>
  </si>
  <si>
    <t>Key Management &amp; Tenant Security</t>
  </si>
  <si>
    <t>Prevents cross-tenant data leakage by ensuring separate encryption keys for each tenant.</t>
  </si>
  <si>
    <t>Ensures proper management of tenant encryption keys while maintaining confidentiality.</t>
  </si>
  <si>
    <t>Governance and Risk Management</t>
  </si>
  <si>
    <t>Do you have documented information security baselines for every component of your infrastructure (e.g., hypervisors, operating systems, routers, DNS servers, etc.)?</t>
  </si>
  <si>
    <t>Infrastructure Security &amp; Configuration Management</t>
  </si>
  <si>
    <t>Ensures infrastructure components are securely configured and standardized to reduce vulnerabilities.</t>
  </si>
  <si>
    <t>Do you have a capability to continuously monitor and report the compliance of your infrastructure against your information security baselines?</t>
  </si>
  <si>
    <t>Continuous Monitoring &amp; Compliance Management</t>
  </si>
  <si>
    <t>Enables real-time monitoring and detection of security baselines violations, ensuring ongoing security compliance.</t>
  </si>
  <si>
    <t>Do you allow your clients to provide their own trusted virtual machine image to ensure conformance to their own internal standards?</t>
  </si>
  <si>
    <t>Client-Controlled Security &amp; Customization</t>
  </si>
  <si>
    <t>Allows clients to use trusted VM images to ensure they meet internal security standards and provide more flexibility.</t>
  </si>
  <si>
    <t>Do you provide security control health data in order to allow tenants to implement industry standard Continuous Monitoring (which allows continual tenant validation of your physical and logical control status)?</t>
  </si>
  <si>
    <t>Tenant Assurance &amp; Continuous Monitoring</t>
  </si>
  <si>
    <t>Provides tenants with visibility into security controls, enabling independent validation of security and compliance.</t>
  </si>
  <si>
    <t>Do you conduct risk assessments associated with data governance requirements at least once a year?</t>
  </si>
  <si>
    <t>Risk Assessment &amp; Data Governance</t>
  </si>
  <si>
    <t>Regular risk assessments ensure the organization proactively addresses risks related to data governance and compliance.</t>
  </si>
  <si>
    <t>Are your technical, business, and executive managers responsible for maintaining awareness of and compliance with security policies, procedures, and standards for both themselves and their employees as they pertain to the manager and employees' area of responsibility?</t>
  </si>
  <si>
    <t>Security Governance &amp; Management Responsibility</t>
  </si>
  <si>
    <t>Ensures management at all levels is accountable for security policies, supporting a top-down culture of compliance.</t>
  </si>
  <si>
    <t>Do you provide tenants with documentation describing your Information Security Management Program (ISMP)?</t>
  </si>
  <si>
    <t>Tenant Communication &amp; Security Transparency</t>
  </si>
  <si>
    <t>Provides tenants with clarity on security practices, policies, and procedures to foster transparency and compliance.</t>
  </si>
  <si>
    <t>Do you review your Information Security Management Program (ISMP) at least once a year?</t>
  </si>
  <si>
    <t>Program Review &amp; Continuous Improvement</t>
  </si>
  <si>
    <t>Ensures security programs are up-to-date and remain aligned with emerging risks and regulatory requirements.</t>
  </si>
  <si>
    <t>Do you ensure your providers adhere to your information security and privacy policies?</t>
  </si>
  <si>
    <t>Third-Party Risk Management &amp; Compliance</t>
  </si>
  <si>
    <t>Ensures third-party providers comply with security policies to mitigate risks introduced by vendors.</t>
  </si>
  <si>
    <t>Do your information security and privacy policies align with industry standards (ISO-27001, ISO-22307, CoBIT, etc.)?</t>
  </si>
  <si>
    <t>Compliance Management &amp; Industry Standards Alignment</t>
  </si>
  <si>
    <t>Aligns internal policies with industry standards to maintain a high level of security and regulatory compliance.</t>
  </si>
  <si>
    <t>Do you have agreements to ensure your providers adhere to your information security and privacy policies?</t>
  </si>
  <si>
    <t>Third-Party Contracts &amp; Security Assurance</t>
  </si>
  <si>
    <t>Legally binds third-party providers to adhere to the organization’s security policies, reducing third-party risks.</t>
  </si>
  <si>
    <t>Can you provide evidence of due diligence mapping of your controls, architecture and processes to regulations and/or standards?</t>
  </si>
  <si>
    <t>Due Diligence &amp; Regulatory Compliance</t>
  </si>
  <si>
    <t>Demonstrates that security practices align with regulations and industry standards, ensuring compliance and transparency.</t>
  </si>
  <si>
    <t>Do you disclose which controls, standards, certifications and/or regulations you comply with?</t>
  </si>
  <si>
    <t>Compliance Transparency &amp; Reporting</t>
  </si>
  <si>
    <t>Promotes transparency and trust by disclosing the organization's adherence to relevant standards and regulations.</t>
  </si>
  <si>
    <t>Is a formal disciplinary or sanction policy established for employees who have violated security policies and procedures?</t>
  </si>
  <si>
    <t>Employee Security &amp; Policy Enforcement</t>
  </si>
  <si>
    <t>Ensures accountability by establishing consequences for violations of security policies and procedures.</t>
  </si>
  <si>
    <t>Are employees made aware of what actions could be taken in the event of a violation via their policies and procedures?</t>
  </si>
  <si>
    <t>Employee Awareness &amp; Security Culture</t>
  </si>
  <si>
    <t>Ensures employees understand the consequences of policy violations, promoting compliance and deterrence.</t>
  </si>
  <si>
    <t>Do risk assessment results include updates to security policies, procedures, standards, and controls to ensure they remain relevant and effective?</t>
  </si>
  <si>
    <t>Risk Assessment &amp; Continuous Improvement</t>
  </si>
  <si>
    <t>Updates security policies based on assessment results to ensure they remain effective and aligned with evolving threats.</t>
  </si>
  <si>
    <t>Do you notify your tenants when you make material changes to your information security and/or privacy policies?</t>
  </si>
  <si>
    <t>Tenant Communication &amp; Policy Transparency</t>
  </si>
  <si>
    <t>Ensures tenants are informed of significant changes to security or privacy policies, allowing them to assess impacts.</t>
  </si>
  <si>
    <t>Ensures that privacy and security policies are regularly reviewed and updated to stay effective and compliant with changing regulations.</t>
  </si>
  <si>
    <t>Policy Review &amp; Continuous Improvement</t>
  </si>
  <si>
    <t>Do you perform, at minimum, annual reviews of your privacy and security policies?</t>
  </si>
  <si>
    <t>Segregation of Duties &amp; Security Transparency</t>
  </si>
  <si>
    <t>Provides tenants with insight into how duties are separated within the cloud environment to prevent conflicts of interest and unauthorized actions.</t>
  </si>
  <si>
    <t>Are controls in place to prevent unauthorized access to your application, program or object source code, and assure it is restricted to authorized personnel only?</t>
  </si>
  <si>
    <t>Application &amp; Code Security</t>
  </si>
  <si>
    <t>Protects source code from unauthorized access by implementing strict access control mechanisms.</t>
  </si>
  <si>
    <t>Are controls in place to prevent unauthorized access to tenant application, program or object source code, and assure it is restricted to authorized personnel only?</t>
  </si>
  <si>
    <t>Ensures tenant-specific source code is securely protected and accessible only by authorized personnel to prevent data breaches.</t>
  </si>
  <si>
    <t>Do you provide multi-failure disaster recovery capability?</t>
  </si>
  <si>
    <t>Disaster Recovery &amp; Service Continuity</t>
  </si>
  <si>
    <t>Ensures the cloud service can withstand multiple failures, providing robust disaster recovery to minimize downtime and data loss.</t>
  </si>
  <si>
    <t>Do you monitor service continuity with upstream providers in the event of provider failure?</t>
  </si>
  <si>
    <t>Third-Party Risk &amp; Continuity Management</t>
  </si>
  <si>
    <t>Monitors upstream provider performance to ensure service continuity in case of failure, mitigating the impact on operations.</t>
  </si>
  <si>
    <t>Do you have more than one provider for each service you depend on?</t>
  </si>
  <si>
    <t>Service Redundancy &amp; Provider Risk</t>
  </si>
  <si>
    <t>Reduces dependency on a single provider by diversifying services, ensuring availability in case of provider failure.</t>
  </si>
  <si>
    <t>Do you provide access to operational redundancy and continuity summaries, including the services you depend on?</t>
  </si>
  <si>
    <t>Operational Transparency &amp; Risk Management</t>
  </si>
  <si>
    <t>Provides tenants with access to information regarding redundancy and continuity plans, promoting transparency in service delivery.</t>
  </si>
  <si>
    <t>Do you provide the tenant the ability to declare a disaster?</t>
  </si>
  <si>
    <t>Tenant Control &amp; Disaster Management</t>
  </si>
  <si>
    <t>Gives tenants the ability to trigger disaster recovery procedures, ensuring they have control over their recovery process.</t>
  </si>
  <si>
    <t>Do you provide a tenant-triggered failover option?</t>
  </si>
  <si>
    <t>Tenant Control &amp; Service Continuity</t>
  </si>
  <si>
    <t>Allows tenants to initiate failover processes in case of service disruption, providing more control over service availability.</t>
  </si>
  <si>
    <t>Do you share your business continuity and redundancy plans with your tenants?</t>
  </si>
  <si>
    <t>Business Continuity &amp; Tenant Assurance</t>
  </si>
  <si>
    <t>Shares continuity and redundancy strategies with tenants to build trust and ensure they understand how potential disruptions are handled.</t>
  </si>
  <si>
    <t>Do you provide tenants with documentation on how you maintain segregation of duties within your cloud service offering?</t>
  </si>
  <si>
    <t xml:space="preserve">Identity and Access Management </t>
  </si>
  <si>
    <t xml:space="preserve">Incident Management &amp;           E-Discovery </t>
  </si>
  <si>
    <t>Does your security information and event management (SIEM) system merge data sources (app logs, firewall logs, IDS logs, physical access logs, etc.) for granular analysis and alerting?</t>
  </si>
  <si>
    <t>Security Monitoring &amp; Incident Detection</t>
  </si>
  <si>
    <t>Integrates multiple data sources to provide comprehensive monitoring and alerting for potential security incidents across the environment.</t>
  </si>
  <si>
    <t>Does your logging and monitoring framework allow isolation of an incident to specific tenants?</t>
  </si>
  <si>
    <t>Tenant-Specific Incident Management &amp; Security Monitoring</t>
  </si>
  <si>
    <t>Allows for tenant-specific isolation of incidents, ensuring that security events are accurately attributed to the correct tenant and their environment.</t>
  </si>
  <si>
    <t>Does your incident response plan comply with industry standards for legally admissible chain-of-custody management processes and controls?</t>
  </si>
  <si>
    <t>Incident Response &amp; Legal Compliance</t>
  </si>
  <si>
    <t>Ensures that incident response processes are legally compliant, maintaining a documented chain of custody for any collected evidence.</t>
  </si>
  <si>
    <t>Does your incident response capability include the use of legally admissible forensic data collection and analysis techniques?</t>
  </si>
  <si>
    <t>Forensic Analysis &amp; Incident Response</t>
  </si>
  <si>
    <t>Utilizes legally admissible methods for forensic data collection and analysis, ensuring the integrity and validity of evidence in case of legal proceedings.</t>
  </si>
  <si>
    <t>Are you capable of supporting litigation holds (freeze of data from a specific point in time) for a specific tenant without freezing other tenant data?</t>
  </si>
  <si>
    <t>Data Preservation &amp; Legal Compliance</t>
  </si>
  <si>
    <t>Ensures that data for a specific tenant can be preserved for legal purposes without affecting other tenants' data, meeting legal hold requirements.</t>
  </si>
  <si>
    <t>Do you enforce and attest to tenant data separation when producing data in response to legal subpoenas?</t>
  </si>
  <si>
    <t>Data Separation &amp; Legal Compliance</t>
  </si>
  <si>
    <t>Ensures that tenant data is kept separate and only the relevant data is provided in response to legal subpoenas, maintaining confidentiality and compliance.</t>
  </si>
  <si>
    <t>Implement and enforce clear segregation of duties policies and ensure that documentation is regularly updated. Provide tenants with transparency on how access to sensitive roles and responsibilities is managed, ensuring no overlap or conflicts of interest.</t>
  </si>
  <si>
    <t>Utilize access control mechanisms such as role-based access control (RBAC) and multi-factor authentication (MFA) for restricting access to source code. Conduct regular audits and apply the principle of least privilege to ensure only authorized personnel can access the code.</t>
  </si>
  <si>
    <t>Implement tenant-specific access controls, secure coding practices, and encryption of sensitive codebases. Regularly review access logs and enforce strict access management policies to ensure tenant code is kept separate and secure.</t>
  </si>
  <si>
    <t>Implement a multi-tier disaster recovery strategy that includes geographical redundancy, automated failover processes, and regular testing of recovery plans to ensure continuity in the event of multiple failures.</t>
  </si>
  <si>
    <t>Regularly evaluate upstream providers for their ability to maintain service continuity. Establish monitoring mechanisms that track provider performance and reliability, including SLAs for uptime and disaster recovery capabilities.</t>
  </si>
  <si>
    <t>Reduce service dependency risk by utilizing multiple providers for critical services. Regularly assess these providers to ensure they meet performance and security standards, and establish failover mechanisms between providers.</t>
  </si>
  <si>
    <t>Provide tenants with clear documentation and transparency about redundancy plans, operational continuity, and external dependencies. Share this information proactively to foster trust and ensure they understand how service continuity is managed.</t>
  </si>
  <si>
    <t>Implement disaster management capabilities that allow tenants to trigger recovery processes based on their needs, such as system failover or data restore. Ensure that the process is documented and aligned with SLAs.</t>
  </si>
  <si>
    <t>Offer tenants the ability to initiate a failover to a secondary site or system in the event of an issue, ensuring that service continuity is maintained even if the primary infrastructure fails.</t>
  </si>
  <si>
    <t>Regularly update tenants on business continuity, redundancy, and disaster recovery plans. Provide them with access to these documents to increase transparency and confidence in your ability to maintain service levels during disruptions.</t>
  </si>
  <si>
    <t>Implement clear processes for key lifecycle management, with documentation identifying the responsible parties for each stage (e.g., key creation, storage, rotation, destruction). Enforce accountability for key security and integrity.</t>
  </si>
  <si>
    <t>Use trusted and well-documented key management frameworks to manage encryption keys, whether they are proprietary or third-party solutions. Ensure these frameworks meet industry standards for security and compliance.</t>
  </si>
  <si>
    <t>Apply strong encryption standards (e.g., AES-256) for data at rest within your cloud environment. Use managed encryption services to ensure keys are securely managed and encrypted data cannot be accessed without authorization.</t>
  </si>
  <si>
    <t>Implement TLS/SSL encryption for data in transit and utilize VPNs or other secure communication protocols to protect data between cloud environments, endpoints, and during VM migrations.</t>
  </si>
  <si>
    <t>Provide tenants the option to generate and manage their own encryption keys (BYOK - Bring Your Own Key) to ensure full control over the encryption of their data, while also supporting integration with your platform’s key management services.</t>
  </si>
  <si>
    <t>Develop comprehensive encryption governance documentation, including policies, procedures, and guidelines for data encryption. Regularly review and update these documents to ensure compliance with applicable laws and standards.</t>
  </si>
  <si>
    <t>Implement tenant-specific encryption key management practices to ensure that each tenant’s data is encrypted with unique keys, ensuring data isolation and security in a multi-tenant environment.</t>
  </si>
  <si>
    <t>Provide a managed key management service for tenants, ensuring their encryption keys are securely stored, rotated, and retired in compliance with security policies, while maintaining tenant-specific isolation.</t>
  </si>
  <si>
    <t>Establish and document information security baselines for every component in your infrastructure. Regularly update these baselines to reflect current security standards, and ensure compliance with them through automated monitoring and auditing.</t>
  </si>
  <si>
    <t>Implement continuous monitoring tools that regularly assess your infrastructure against established security baselines. Generate automated compliance reports to ensure ongoing adherence to security standards.</t>
  </si>
  <si>
    <t>Allow tenants to upload and use their own secure VM images, ensuring these images adhere to internal security standards. Provide tools for image scanning and validation to ensure security before deployment.</t>
  </si>
  <si>
    <t>Provide tenants with real-time health data about security controls, enabling them to conduct their own continuous monitoring and verify compliance with their own security standards.</t>
  </si>
  <si>
    <t>Perform annual risk assessments focused on data governance, privacy, and security risks. Use these assessments to update security policies, address new threats, and ensure compliance with regulatory requirements.</t>
  </si>
  <si>
    <t>Hold management accountable for security compliance by assigning responsibility for maintaining security policies and standards. Ensure managers are aware of the risks and required actions within their specific areas of oversight.</t>
  </si>
  <si>
    <t>Regularly provide tenants with detailed documentation outlining your Information Security Management Program (ISMP), ensuring transparency about security practices and risk management efforts.</t>
  </si>
  <si>
    <t>Conduct annual reviews of your ISMP to assess the effectiveness of existing controls, identify improvements, and incorporate feedback from internal audits, security assessments, and tenants.</t>
  </si>
  <si>
    <t>Implement due diligence processes to assess and monitor third-party providers’ compliance with your information security and privacy policies, ensuring alignment with industry best practices and legal requirements.</t>
  </si>
  <si>
    <t>Align your security and privacy policies with recognized industry standards such as ISO-27001 and CoBIT to ensure best practices in security management and regulatory compliance.</t>
  </si>
  <si>
    <t>Secure contractual agreements with third-party providers that require them to adhere to your information security and privacy policies. Regularly audit third-party compliance.</t>
  </si>
  <si>
    <t>Perform due diligence activities to map security controls and architecture to regulatory and industry standards. Provide clear evidence of compliance through documentation and third-party audits.</t>
  </si>
  <si>
    <t>Publicly disclose the relevant controls, certifications, and standards your organization complies with. Ensure transparency to build trust with tenants and regulatory bodies.</t>
  </si>
  <si>
    <t>Establish and enforce a formal policy for disciplinary actions related to violations of security policies. Ensure that employees understand the potential consequences of non-compliance.</t>
  </si>
  <si>
    <t>Regularly train employees on security policies, procedures, and potential sanctions for violations. Foster a security-aware culture by encouraging proactive engagement with security practices.</t>
  </si>
  <si>
    <t>Update security policies, procedures, and controls regularly based on risk assessment results. Implement continuous improvement processes to ensure the organization remains resilient to new threats.</t>
  </si>
  <si>
    <t>Notify tenants proactively about any material changes to your security and privacy policies. Provide clear explanations of the changes and how they may impact tenants.</t>
  </si>
  <si>
    <t>Conduct annual reviews of privacy and security policies to ensure they reflect evolving threats, regulatory changes, and industry best practices. Regularly update policies to maintain compliance and effectiveness.</t>
  </si>
  <si>
    <t>Integrate data from multiple sources into a centralized SIEM system for comprehensive event analysis, providing more accurate and timely alerts about potential security incidents.</t>
  </si>
  <si>
    <t>Implement tenant-specific logging and monitoring to ensure that incidents are isolated and appropriately attributed to the correct tenant, ensuring effective incident management.</t>
  </si>
  <si>
    <t>Ensure that your incident response plan aligns with industry standards and incorporates processes to maintain a legally admissible chain of custody for evidence during investigations.</t>
  </si>
  <si>
    <t>Develop and use forensic analysis tools and techniques that meet legal standards for admissibility in court, ensuring that any collected evidence can withstand legal scrutiny.</t>
  </si>
  <si>
    <t>Implement data preservation mechanisms that allow for litigation holds on a per-tenant basis, without impacting the data of other tenants. Ensure compliance with legal requirements for data retention during investigations.</t>
  </si>
  <si>
    <t>Enforce strict data separation policies when responding to subpoenas to ensure that only the relevant tenant data is disclosed, preserving privacy and confidentiality.</t>
  </si>
  <si>
    <t xml:space="preserve"> Cloud Risk Decision Framework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</si>
</sst>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_);\(#,##0.0\)"/>
  </numFmts>
  <fonts count="49">
    <font>
      <sz val="10"/>
      <name val="Arial"/>
    </font>
    <font>
      <sz val="11"/>
      <color theme="1"/>
      <name val="Calibri"/>
      <family val="2"/>
      <scheme val="minor"/>
    </font>
    <font>
      <sz val="10"/>
      <name val="Arial"/>
      <family val="2"/>
    </font>
    <font>
      <sz val="10"/>
      <name val="Calibri"/>
      <family val="2"/>
      <scheme val="minor"/>
    </font>
    <font>
      <sz val="10"/>
      <name val="Helv"/>
    </font>
    <font>
      <sz val="11"/>
      <color indexed="8"/>
      <name val="Calibri"/>
      <family val="2"/>
    </font>
    <font>
      <sz val="8"/>
      <color theme="1"/>
      <name val="Arial"/>
      <family val="2"/>
      <charset val="238"/>
    </font>
    <font>
      <sz val="10"/>
      <name val="Helv"/>
      <charset val="204"/>
    </font>
    <font>
      <b/>
      <sz val="14"/>
      <color theme="0"/>
      <name val="Calibri"/>
      <family val="2"/>
      <scheme val="minor"/>
    </font>
    <font>
      <sz val="12"/>
      <color theme="0"/>
      <name val="Calibri"/>
      <family val="2"/>
      <scheme val="minor"/>
    </font>
    <font>
      <b/>
      <sz val="12"/>
      <color theme="0"/>
      <name val="Calibri"/>
      <family val="2"/>
      <scheme val="minor"/>
    </font>
    <font>
      <sz val="10"/>
      <color theme="0"/>
      <name val="Calibri"/>
      <family val="2"/>
      <scheme val="minor"/>
    </font>
    <font>
      <sz val="7"/>
      <name val="Calibri"/>
      <family val="2"/>
      <scheme val="minor"/>
    </font>
    <font>
      <b/>
      <sz val="8"/>
      <name val="Calibri"/>
      <family val="2"/>
      <scheme val="minor"/>
    </font>
    <font>
      <b/>
      <sz val="14"/>
      <color rgb="FFFF0000"/>
      <name val="Calibri"/>
      <family val="2"/>
      <scheme val="minor"/>
    </font>
    <font>
      <b/>
      <sz val="14"/>
      <name val="Calibri"/>
      <family val="2"/>
      <scheme val="minor"/>
    </font>
    <font>
      <sz val="12"/>
      <color theme="1"/>
      <name val="Calibri"/>
      <family val="2"/>
      <scheme val="minor"/>
    </font>
    <font>
      <sz val="12"/>
      <name val="Calibri"/>
      <family val="2"/>
      <scheme val="minor"/>
    </font>
    <font>
      <sz val="11"/>
      <color theme="0"/>
      <name val="Calibri"/>
      <family val="2"/>
      <scheme val="minor"/>
    </font>
    <font>
      <sz val="11"/>
      <color theme="1"/>
      <name val="Square721 BT"/>
    </font>
    <font>
      <sz val="12"/>
      <name val="Arial"/>
      <family val="2"/>
    </font>
    <font>
      <sz val="12"/>
      <color theme="1"/>
      <name val="Square721 BT"/>
    </font>
    <font>
      <sz val="11"/>
      <color theme="0"/>
      <name val="Square721 BT"/>
    </font>
    <font>
      <sz val="11"/>
      <color rgb="FF0000FF"/>
      <name val="Square721 BT"/>
    </font>
    <font>
      <b/>
      <sz val="12"/>
      <name val="Arial"/>
      <family val="2"/>
    </font>
    <font>
      <b/>
      <sz val="10"/>
      <name val="Arial"/>
      <family val="2"/>
    </font>
    <font>
      <b/>
      <sz val="20"/>
      <color theme="0"/>
      <name val="Calibri"/>
      <family val="2"/>
      <scheme val="minor"/>
    </font>
    <font>
      <b/>
      <sz val="22"/>
      <color theme="0"/>
      <name val="Calibri"/>
      <family val="2"/>
      <scheme val="minor"/>
    </font>
    <font>
      <b/>
      <sz val="24"/>
      <color theme="0"/>
      <name val="Calibri"/>
      <family val="2"/>
      <scheme val="minor"/>
    </font>
    <font>
      <sz val="20"/>
      <name val="Arial"/>
      <family val="2"/>
    </font>
    <font>
      <b/>
      <sz val="20"/>
      <name val="Calibri"/>
      <family val="2"/>
      <scheme val="minor"/>
    </font>
    <font>
      <b/>
      <sz val="20"/>
      <name val="Arial"/>
      <family val="2"/>
    </font>
    <font>
      <b/>
      <sz val="24"/>
      <name val="Arial"/>
      <family val="2"/>
    </font>
    <font>
      <b/>
      <sz val="28"/>
      <color theme="0"/>
      <name val="Calibri"/>
      <family val="2"/>
      <scheme val="minor"/>
    </font>
    <font>
      <b/>
      <i/>
      <sz val="24"/>
      <color theme="0"/>
      <name val="Calibri"/>
      <family val="2"/>
      <scheme val="minor"/>
    </font>
    <font>
      <sz val="9"/>
      <color indexed="81"/>
      <name val="Tahoma"/>
      <family val="2"/>
    </font>
    <font>
      <b/>
      <sz val="9"/>
      <color indexed="81"/>
      <name val="Tahoma"/>
      <family val="2"/>
    </font>
    <font>
      <sz val="22"/>
      <name val="Arial"/>
      <family val="2"/>
    </font>
    <font>
      <sz val="24"/>
      <name val="Arial"/>
      <family val="2"/>
    </font>
    <font>
      <sz val="26"/>
      <name val="Arial"/>
      <family val="2"/>
    </font>
    <font>
      <sz val="10"/>
      <color theme="1"/>
      <name val="Calibri"/>
      <family val="2"/>
      <scheme val="minor"/>
    </font>
    <font>
      <sz val="9"/>
      <color indexed="81"/>
      <name val="Tahoma"/>
      <charset val="1"/>
    </font>
    <font>
      <b/>
      <sz val="9"/>
      <color indexed="81"/>
      <name val="Tahoma"/>
      <charset val="1"/>
    </font>
    <font>
      <sz val="24"/>
      <color theme="0"/>
      <name val="Calibri"/>
      <family val="2"/>
      <scheme val="minor"/>
    </font>
    <font>
      <sz val="28"/>
      <color theme="0"/>
      <name val="Calibri"/>
      <family val="2"/>
      <scheme val="minor"/>
    </font>
    <font>
      <sz val="9"/>
      <name val="Arial"/>
      <family val="2"/>
    </font>
    <font>
      <sz val="8"/>
      <name val="Arial"/>
      <family val="2"/>
    </font>
    <font>
      <sz val="9"/>
      <color theme="1"/>
      <name val="Calibri"/>
      <family val="2"/>
      <scheme val="minor"/>
    </font>
    <font>
      <sz val="8"/>
      <color theme="1"/>
      <name val="Calibri"/>
      <family val="2"/>
      <scheme val="minor"/>
    </font>
  </fonts>
  <fills count="24">
    <fill>
      <patternFill patternType="none"/>
    </fill>
    <fill>
      <patternFill patternType="gray125"/>
    </fill>
    <fill>
      <patternFill patternType="solid">
        <fgColor indexed="42"/>
        <bgColor indexed="64"/>
      </patternFill>
    </fill>
    <fill>
      <patternFill patternType="solid">
        <fgColor theme="0"/>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CC"/>
      </patternFill>
    </fill>
    <fill>
      <patternFill patternType="solid">
        <fgColor indexed="31"/>
        <bgColor indexed="64"/>
      </patternFill>
    </fill>
    <fill>
      <patternFill patternType="solid">
        <fgColor indexed="43"/>
        <bgColor indexed="64"/>
      </patternFill>
    </fill>
    <fill>
      <patternFill patternType="solid">
        <fgColor indexed="27"/>
        <bgColor indexed="64"/>
      </patternFill>
    </fill>
    <fill>
      <patternFill patternType="solid">
        <fgColor rgb="FFFF0000"/>
        <bgColor indexed="64"/>
      </patternFill>
    </fill>
    <fill>
      <patternFill patternType="solid">
        <fgColor theme="4"/>
        <bgColor theme="4"/>
      </patternFill>
    </fill>
    <fill>
      <patternFill patternType="solid">
        <fgColor theme="0" tint="-0.14999847407452621"/>
        <bgColor indexed="64"/>
      </patternFill>
    </fill>
    <fill>
      <patternFill patternType="solid">
        <fgColor theme="4"/>
      </patternFill>
    </fill>
    <fill>
      <patternFill patternType="solid">
        <fgColor rgb="FF800000"/>
        <bgColor indexed="64"/>
      </patternFill>
    </fill>
    <fill>
      <patternFill patternType="solid">
        <fgColor rgb="FFDDDDDD"/>
        <bgColor indexed="64"/>
      </patternFill>
    </fill>
    <fill>
      <patternFill patternType="solid">
        <fgColor rgb="FFCC0000"/>
        <bgColor indexed="64"/>
      </patternFill>
    </fill>
    <fill>
      <patternFill patternType="solid">
        <fgColor rgb="FFFF9900"/>
        <bgColor indexed="64"/>
      </patternFill>
    </fill>
    <fill>
      <patternFill patternType="solid">
        <fgColor rgb="FF00FF00"/>
        <bgColor indexed="64"/>
      </patternFill>
    </fill>
    <fill>
      <patternFill patternType="solid">
        <fgColor rgb="FFFF8000"/>
        <bgColor indexed="64"/>
      </patternFill>
    </fill>
    <fill>
      <patternFill patternType="solid">
        <fgColor rgb="FF008000"/>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1" tint="4.9989318521683403E-2"/>
        <bgColor indexed="64"/>
      </patternFill>
    </fill>
  </fills>
  <borders count="8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hair">
        <color indexed="62"/>
      </left>
      <right style="hair">
        <color indexed="62"/>
      </right>
      <top style="hair">
        <color indexed="62"/>
      </top>
      <bottom style="hair">
        <color indexed="62"/>
      </bottom>
      <diagonal/>
    </border>
    <border>
      <left style="medium">
        <color indexed="10"/>
      </left>
      <right style="medium">
        <color indexed="10"/>
      </right>
      <top style="medium">
        <color indexed="10"/>
      </top>
      <bottom style="medium">
        <color indexed="10"/>
      </bottom>
      <diagonal/>
    </border>
    <border>
      <left style="hair">
        <color indexed="30"/>
      </left>
      <right style="hair">
        <color indexed="30"/>
      </right>
      <top style="hair">
        <color indexed="30"/>
      </top>
      <bottom style="hair">
        <color indexed="30"/>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theme="4"/>
      </left>
      <right/>
      <top style="thin">
        <color theme="4"/>
      </top>
      <bottom/>
      <diagonal/>
    </border>
    <border>
      <left/>
      <right/>
      <top style="thin">
        <color theme="4"/>
      </top>
      <bottom/>
      <diagonal/>
    </border>
    <border>
      <left style="thin">
        <color theme="4"/>
      </left>
      <right/>
      <top/>
      <bottom/>
      <diagonal/>
    </border>
    <border>
      <left/>
      <right/>
      <top/>
      <bottom style="thin">
        <color theme="4"/>
      </bottom>
      <diagonal/>
    </border>
    <border>
      <left style="medium">
        <color auto="1"/>
      </left>
      <right style="medium">
        <color rgb="FFFFFFFF"/>
      </right>
      <top style="medium">
        <color auto="1"/>
      </top>
      <bottom/>
      <diagonal/>
    </border>
    <border>
      <left style="medium">
        <color rgb="FFFFFFFF"/>
      </left>
      <right style="thick">
        <color rgb="FFFFFFFF"/>
      </right>
      <top style="medium">
        <color auto="1"/>
      </top>
      <bottom/>
      <diagonal/>
    </border>
    <border>
      <left style="thick">
        <color rgb="FFFFFFFF"/>
      </left>
      <right style="thick">
        <color rgb="FFFFFFFF"/>
      </right>
      <top style="medium">
        <color auto="1"/>
      </top>
      <bottom/>
      <diagonal/>
    </border>
    <border>
      <left style="thick">
        <color rgb="FFFFFFFF"/>
      </left>
      <right/>
      <top style="medium">
        <color auto="1"/>
      </top>
      <bottom style="thick">
        <color rgb="FFFFFFFF"/>
      </bottom>
      <diagonal/>
    </border>
    <border>
      <left/>
      <right/>
      <top style="medium">
        <color auto="1"/>
      </top>
      <bottom style="thick">
        <color rgb="FFFFFFFF"/>
      </bottom>
      <diagonal/>
    </border>
    <border>
      <left/>
      <right style="medium">
        <color auto="1"/>
      </right>
      <top style="medium">
        <color auto="1"/>
      </top>
      <bottom style="thick">
        <color rgb="FFFFFFFF"/>
      </bottom>
      <diagonal/>
    </border>
    <border>
      <left style="medium">
        <color auto="1"/>
      </left>
      <right style="medium">
        <color rgb="FFFFFFFF"/>
      </right>
      <top/>
      <bottom style="medium">
        <color auto="1"/>
      </bottom>
      <diagonal/>
    </border>
    <border>
      <left style="medium">
        <color rgb="FFFFFFFF"/>
      </left>
      <right style="thick">
        <color rgb="FFFFFFFF"/>
      </right>
      <top/>
      <bottom/>
      <diagonal/>
    </border>
    <border>
      <left style="thick">
        <color rgb="FFFFFFFF"/>
      </left>
      <right style="thick">
        <color rgb="FFFFFFFF"/>
      </right>
      <top/>
      <bottom style="medium">
        <color auto="1"/>
      </bottom>
      <diagonal/>
    </border>
    <border>
      <left/>
      <right style="thick">
        <color rgb="FFFFFFFF"/>
      </right>
      <top/>
      <bottom style="medium">
        <color auto="1"/>
      </bottom>
      <diagonal/>
    </border>
    <border>
      <left/>
      <right style="medium">
        <color rgb="FFFFFFFF"/>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medium">
        <color rgb="FFFFFFFF"/>
      </left>
      <right style="medium">
        <color rgb="FFFFFFFF"/>
      </right>
      <top style="thin">
        <color auto="1"/>
      </top>
      <bottom style="thin">
        <color auto="1"/>
      </bottom>
      <diagonal/>
    </border>
    <border>
      <left style="medium">
        <color rgb="FFFFFFFF"/>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thin">
        <color auto="1"/>
      </right>
      <top style="thin">
        <color auto="1"/>
      </top>
      <bottom/>
      <diagonal/>
    </border>
    <border>
      <left style="medium">
        <color rgb="FFFFFFFF"/>
      </left>
      <right style="medium">
        <color rgb="FFFFFFFF"/>
      </right>
      <top style="thin">
        <color auto="1"/>
      </top>
      <bottom/>
      <diagonal/>
    </border>
    <border>
      <left/>
      <right style="medium">
        <color rgb="FFFFFFFF"/>
      </right>
      <top style="thin">
        <color auto="1"/>
      </top>
      <bottom style="thin">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rgb="FFFFFFFF"/>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medium">
        <color auto="1"/>
      </top>
      <bottom style="medium">
        <color rgb="FF000080"/>
      </bottom>
      <diagonal/>
    </border>
    <border>
      <left/>
      <right style="thin">
        <color auto="1"/>
      </right>
      <top style="medium">
        <color auto="1"/>
      </top>
      <bottom style="medium">
        <color rgb="FF000080"/>
      </bottom>
      <diagonal/>
    </border>
    <border>
      <left/>
      <right/>
      <top style="medium">
        <color auto="1"/>
      </top>
      <bottom/>
      <diagonal/>
    </border>
    <border>
      <left/>
      <right style="medium">
        <color auto="1"/>
      </right>
      <top style="medium">
        <color auto="1"/>
      </top>
      <bottom/>
      <diagonal/>
    </border>
    <border>
      <left style="medium">
        <color auto="1"/>
      </left>
      <right style="medium">
        <color rgb="FF000080"/>
      </right>
      <top style="medium">
        <color rgb="FF000080"/>
      </top>
      <bottom style="medium">
        <color auto="1"/>
      </bottom>
      <diagonal/>
    </border>
    <border>
      <left/>
      <right style="medium">
        <color rgb="FF000080"/>
      </right>
      <top style="medium">
        <color rgb="FF000080"/>
      </top>
      <bottom style="medium">
        <color auto="1"/>
      </bottom>
      <diagonal/>
    </border>
    <border>
      <left/>
      <right style="medium">
        <color auto="1"/>
      </right>
      <top style="medium">
        <color rgb="FF000080"/>
      </top>
      <bottom style="medium">
        <color auto="1"/>
      </bottom>
      <diagonal/>
    </border>
    <border>
      <left style="medium">
        <color auto="1"/>
      </left>
      <right/>
      <top/>
      <bottom style="medium">
        <color rgb="FF000080"/>
      </bottom>
      <diagonal/>
    </border>
    <border>
      <left style="medium">
        <color auto="1"/>
      </left>
      <right style="medium">
        <color auto="1"/>
      </right>
      <top/>
      <bottom style="medium">
        <color rgb="FF000080"/>
      </bottom>
      <diagonal/>
    </border>
    <border>
      <left/>
      <right/>
      <top/>
      <bottom style="medium">
        <color rgb="FF000080"/>
      </bottom>
      <diagonal/>
    </border>
    <border>
      <left/>
      <right style="medium">
        <color auto="1"/>
      </right>
      <top/>
      <bottom style="medium">
        <color rgb="FF000080"/>
      </bottom>
      <diagonal/>
    </border>
    <border>
      <left style="medium">
        <color auto="1"/>
      </left>
      <right/>
      <top/>
      <bottom/>
      <diagonal/>
    </border>
    <border>
      <left style="medium">
        <color auto="1"/>
      </left>
      <right style="medium">
        <color auto="1"/>
      </right>
      <top/>
      <bottom/>
      <diagonal/>
    </border>
    <border>
      <left/>
      <right style="medium">
        <color auto="1"/>
      </right>
      <top/>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theme="3" tint="0.39997558519241921"/>
      </top>
      <bottom style="thin">
        <color theme="3" tint="0.39997558519241921"/>
      </bottom>
      <diagonal/>
    </border>
    <border>
      <left/>
      <right/>
      <top style="medium">
        <color indexed="64"/>
      </top>
      <bottom style="thin">
        <color theme="3" tint="0.39997558519241921"/>
      </bottom>
      <diagonal/>
    </border>
    <border>
      <left style="thin">
        <color theme="3" tint="0.39997558519241921"/>
      </left>
      <right style="medium">
        <color indexed="64"/>
      </right>
      <top style="medium">
        <color indexed="64"/>
      </top>
      <bottom style="thin">
        <color theme="3" tint="0.39997558519241921"/>
      </bottom>
      <diagonal/>
    </border>
    <border>
      <left/>
      <right/>
      <top style="thin">
        <color theme="3" tint="0.39997558519241921"/>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theme="3" tint="0.39997558519241921"/>
      </left>
      <right style="medium">
        <color indexed="64"/>
      </right>
      <top style="thin">
        <color theme="3" tint="0.39997558519241921"/>
      </top>
      <bottom style="thin">
        <color theme="3" tint="0.39997558519241921"/>
      </bottom>
      <diagonal/>
    </border>
    <border>
      <left style="thin">
        <color theme="3" tint="0.39997558519241921"/>
      </left>
      <right style="medium">
        <color indexed="64"/>
      </right>
      <top style="thin">
        <color theme="3" tint="0.39997558519241921"/>
      </top>
      <bottom style="medium">
        <color indexed="64"/>
      </bottom>
      <diagonal/>
    </border>
    <border>
      <left style="medium">
        <color indexed="64"/>
      </left>
      <right/>
      <top style="medium">
        <color indexed="64"/>
      </top>
      <bottom style="thin">
        <color theme="3" tint="0.39997558519241921"/>
      </bottom>
      <diagonal/>
    </border>
    <border>
      <left style="thin">
        <color indexed="64"/>
      </left>
      <right style="medium">
        <color indexed="64"/>
      </right>
      <top style="medium">
        <color indexed="64"/>
      </top>
      <bottom style="thin">
        <color theme="3" tint="0.39997558519241921"/>
      </bottom>
      <diagonal/>
    </border>
    <border>
      <left style="medium">
        <color indexed="64"/>
      </left>
      <right/>
      <top style="thin">
        <color theme="3" tint="0.39997558519241921"/>
      </top>
      <bottom style="thin">
        <color theme="3" tint="0.39997558519241921"/>
      </bottom>
      <diagonal/>
    </border>
    <border>
      <left style="thin">
        <color indexed="64"/>
      </left>
      <right style="medium">
        <color indexed="64"/>
      </right>
      <top style="thin">
        <color theme="3" tint="0.39997558519241921"/>
      </top>
      <bottom style="thin">
        <color theme="3" tint="0.39997558519241921"/>
      </bottom>
      <diagonal/>
    </border>
    <border>
      <left style="medium">
        <color indexed="64"/>
      </left>
      <right/>
      <top style="thin">
        <color theme="3" tint="0.39997558519241921"/>
      </top>
      <bottom style="medium">
        <color indexed="64"/>
      </bottom>
      <diagonal/>
    </border>
    <border>
      <left style="thin">
        <color indexed="64"/>
      </left>
      <right style="medium">
        <color indexed="64"/>
      </right>
      <top style="thin">
        <color theme="3" tint="0.39997558519241921"/>
      </top>
      <bottom style="medium">
        <color indexed="64"/>
      </bottom>
      <diagonal/>
    </border>
    <border>
      <left style="thin">
        <color theme="3" tint="0.39997558519241921"/>
      </left>
      <right/>
      <top style="medium">
        <color indexed="64"/>
      </top>
      <bottom style="thin">
        <color theme="3" tint="0.39997558519241921"/>
      </bottom>
      <diagonal/>
    </border>
    <border>
      <left style="thin">
        <color theme="0" tint="-0.14996795556505021"/>
      </left>
      <right style="medium">
        <color indexed="64"/>
      </right>
      <top style="medium">
        <color indexed="64"/>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medium">
        <color indexed="64"/>
      </bottom>
      <diagonal/>
    </border>
    <border>
      <left style="thin">
        <color theme="0" tint="-0.14996795556505021"/>
      </left>
      <right style="thin">
        <color theme="0" tint="-0.14996795556505021"/>
      </right>
      <top/>
      <bottom/>
      <diagonal/>
    </border>
    <border>
      <left style="thin">
        <color theme="3" tint="0.39997558519241921"/>
      </left>
      <right/>
      <top style="thin">
        <color theme="3" tint="0.39997558519241921"/>
      </top>
      <bottom style="thin">
        <color theme="3" tint="0.39997558519241921"/>
      </bottom>
      <diagonal/>
    </border>
    <border>
      <left style="thin">
        <color theme="3" tint="0.39997558519241921"/>
      </left>
      <right/>
      <top style="thin">
        <color theme="3" tint="0.39997558519241921"/>
      </top>
      <bottom style="medium">
        <color indexed="64"/>
      </bottom>
      <diagonal/>
    </border>
    <border>
      <left style="thick">
        <color indexed="64"/>
      </left>
      <right style="thick">
        <color indexed="64"/>
      </right>
      <top style="thick">
        <color indexed="64"/>
      </top>
      <bottom style="thick">
        <color indexed="64"/>
      </bottom>
      <diagonal/>
    </border>
    <border>
      <left style="medium">
        <color indexed="64"/>
      </left>
      <right style="thin">
        <color indexed="64"/>
      </right>
      <top style="medium">
        <color indexed="64"/>
      </top>
      <bottom style="thin">
        <color theme="3" tint="0.39997558519241921"/>
      </bottom>
      <diagonal/>
    </border>
    <border>
      <left style="thin">
        <color indexed="64"/>
      </left>
      <right style="thin">
        <color indexed="64"/>
      </right>
      <top style="medium">
        <color indexed="64"/>
      </top>
      <bottom style="thin">
        <color theme="3" tint="0.39997558519241921"/>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medium">
        <color indexed="64"/>
      </bottom>
      <diagonal/>
    </border>
  </borders>
  <cellStyleXfs count="30">
    <xf numFmtId="0" fontId="0" fillId="0" borderId="0"/>
    <xf numFmtId="0" fontId="2" fillId="0" borderId="0"/>
    <xf numFmtId="0" fontId="4" fillId="0" borderId="0"/>
    <xf numFmtId="43" fontId="2"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9" fontId="2" fillId="7" borderId="3" applyNumberFormat="0" applyFont="0" applyProtection="0">
      <alignment vertical="center" wrapText="1"/>
    </xf>
    <xf numFmtId="0" fontId="2" fillId="2" borderId="4" applyNumberFormat="0" applyFont="0" applyAlignment="0">
      <protection locked="0"/>
    </xf>
    <xf numFmtId="0" fontId="2" fillId="8" borderId="4" applyNumberFormat="0" applyFont="0" applyAlignment="0">
      <protection locked="0"/>
    </xf>
    <xf numFmtId="0" fontId="2" fillId="0" borderId="0"/>
    <xf numFmtId="0" fontId="1" fillId="0" borderId="0"/>
    <xf numFmtId="0" fontId="2" fillId="0" borderId="0"/>
    <xf numFmtId="0" fontId="2" fillId="0" borderId="0"/>
    <xf numFmtId="0" fontId="5" fillId="0" borderId="0"/>
    <xf numFmtId="0" fontId="2" fillId="0" borderId="0"/>
    <xf numFmtId="0" fontId="2" fillId="0" borderId="0"/>
    <xf numFmtId="0" fontId="1" fillId="0" borderId="0"/>
    <xf numFmtId="0" fontId="6" fillId="0" borderId="0"/>
    <xf numFmtId="0" fontId="2" fillId="0" borderId="0"/>
    <xf numFmtId="0" fontId="2" fillId="0" borderId="0"/>
    <xf numFmtId="0" fontId="2" fillId="0" borderId="0"/>
    <xf numFmtId="0" fontId="2" fillId="0" borderId="0"/>
    <xf numFmtId="0" fontId="2" fillId="0" borderId="0"/>
    <xf numFmtId="0" fontId="2" fillId="6" borderId="2" applyNumberFormat="0" applyFont="0" applyAlignment="0" applyProtection="0"/>
    <xf numFmtId="9" fontId="2"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0" fontId="2" fillId="9" borderId="5" applyNumberFormat="0" applyFont="0" applyAlignment="0" applyProtection="0">
      <alignment horizontal="left" vertical="center" wrapText="1"/>
    </xf>
    <xf numFmtId="0" fontId="7" fillId="0" borderId="0"/>
    <xf numFmtId="0" fontId="18" fillId="13" borderId="0" applyNumberFormat="0" applyBorder="0" applyAlignment="0" applyProtection="0"/>
  </cellStyleXfs>
  <cellXfs count="166">
    <xf numFmtId="0" fontId="0" fillId="0" borderId="0" xfId="0"/>
    <xf numFmtId="0" fontId="9" fillId="3" borderId="0" xfId="0" applyFont="1" applyFill="1" applyAlignment="1">
      <alignment horizontal="center" vertical="center"/>
    </xf>
    <xf numFmtId="0" fontId="9" fillId="3" borderId="0" xfId="0" applyFont="1" applyFill="1" applyAlignment="1">
      <alignment vertical="center"/>
    </xf>
    <xf numFmtId="0" fontId="3" fillId="3" borderId="0" xfId="1" applyFont="1" applyFill="1"/>
    <xf numFmtId="0" fontId="11" fillId="5" borderId="0" xfId="1" applyFont="1" applyFill="1"/>
    <xf numFmtId="164" fontId="12" fillId="5" borderId="0" xfId="1" applyNumberFormat="1" applyFont="1" applyFill="1" applyAlignment="1">
      <alignment horizontal="center"/>
    </xf>
    <xf numFmtId="0" fontId="14" fillId="3" borderId="0" xfId="0" applyFont="1" applyFill="1" applyAlignment="1">
      <alignment vertical="center"/>
    </xf>
    <xf numFmtId="0" fontId="15" fillId="3" borderId="0" xfId="0" applyFont="1" applyFill="1" applyAlignment="1">
      <alignment vertical="center"/>
    </xf>
    <xf numFmtId="0" fontId="11" fillId="3" borderId="0" xfId="1" applyFont="1" applyFill="1"/>
    <xf numFmtId="0" fontId="8" fillId="11" borderId="9" xfId="0" applyFont="1" applyFill="1" applyBorder="1" applyAlignment="1">
      <alignment horizontal="center" vertical="center"/>
    </xf>
    <xf numFmtId="0" fontId="8" fillId="11" borderId="10" xfId="0" applyFont="1" applyFill="1" applyBorder="1" applyAlignment="1">
      <alignment horizontal="center" vertical="center"/>
    </xf>
    <xf numFmtId="0" fontId="17" fillId="0" borderId="0" xfId="0" applyFont="1" applyAlignment="1">
      <alignment wrapText="1"/>
    </xf>
    <xf numFmtId="0" fontId="0" fillId="0" borderId="0" xfId="0" applyAlignment="1">
      <alignment wrapText="1"/>
    </xf>
    <xf numFmtId="0" fontId="2" fillId="0" borderId="0" xfId="0" applyFont="1" applyAlignment="1">
      <alignment wrapText="1"/>
    </xf>
    <xf numFmtId="0" fontId="20" fillId="0" borderId="0" xfId="0" applyFont="1"/>
    <xf numFmtId="0" fontId="21" fillId="14" borderId="8" xfId="0" applyFont="1" applyFill="1" applyBorder="1" applyAlignment="1">
      <alignment horizontal="center" vertical="center" wrapText="1"/>
    </xf>
    <xf numFmtId="0" fontId="21" fillId="12" borderId="1" xfId="0" applyFont="1" applyFill="1" applyBorder="1" applyAlignment="1">
      <alignment horizontal="center" vertical="center" wrapText="1"/>
    </xf>
    <xf numFmtId="0" fontId="21" fillId="12" borderId="25" xfId="0" applyFont="1" applyFill="1" applyBorder="1" applyAlignment="1">
      <alignment vertical="center" wrapText="1"/>
    </xf>
    <xf numFmtId="0" fontId="21" fillId="15" borderId="26" xfId="0" applyFont="1" applyFill="1" applyBorder="1" applyAlignment="1">
      <alignment vertical="center" wrapText="1"/>
    </xf>
    <xf numFmtId="0" fontId="21" fillId="15" borderId="27" xfId="0" applyFont="1" applyFill="1" applyBorder="1" applyAlignment="1">
      <alignment vertical="center" wrapText="1"/>
    </xf>
    <xf numFmtId="0" fontId="21" fillId="16" borderId="8" xfId="0" applyFont="1" applyFill="1" applyBorder="1" applyAlignment="1">
      <alignment horizontal="center" vertical="center" wrapText="1"/>
    </xf>
    <xf numFmtId="0" fontId="21" fillId="17" borderId="28" xfId="0" applyFont="1" applyFill="1" applyBorder="1" applyAlignment="1">
      <alignment horizontal="center" vertical="center" wrapText="1"/>
    </xf>
    <xf numFmtId="0" fontId="21" fillId="12" borderId="29" xfId="0" applyFont="1" applyFill="1" applyBorder="1" applyAlignment="1">
      <alignment horizontal="center" vertical="center" wrapText="1"/>
    </xf>
    <xf numFmtId="0" fontId="21" fillId="12" borderId="30" xfId="0" applyFont="1" applyFill="1" applyBorder="1" applyAlignment="1">
      <alignment vertical="center" wrapText="1"/>
    </xf>
    <xf numFmtId="0" fontId="21" fillId="15" borderId="31" xfId="0" applyFont="1" applyFill="1" applyBorder="1" applyAlignment="1">
      <alignment vertical="center" wrapText="1"/>
    </xf>
    <xf numFmtId="0" fontId="21" fillId="4" borderId="8" xfId="0" applyFont="1" applyFill="1" applyBorder="1" applyAlignment="1">
      <alignment horizontal="center" vertical="center" wrapText="1"/>
    </xf>
    <xf numFmtId="0" fontId="21" fillId="15" borderId="32" xfId="0" applyFont="1" applyFill="1" applyBorder="1" applyAlignment="1">
      <alignment vertical="center" wrapText="1"/>
    </xf>
    <xf numFmtId="0" fontId="21" fillId="18" borderId="7" xfId="0" applyFont="1" applyFill="1" applyBorder="1" applyAlignment="1">
      <alignment horizontal="center" vertical="center" wrapText="1"/>
    </xf>
    <xf numFmtId="0" fontId="21" fillId="12" borderId="33" xfId="0" applyFont="1" applyFill="1" applyBorder="1" applyAlignment="1">
      <alignment horizontal="center" vertical="center" wrapText="1"/>
    </xf>
    <xf numFmtId="0" fontId="21" fillId="12" borderId="34" xfId="0" applyFont="1" applyFill="1" applyBorder="1" applyAlignment="1">
      <alignment vertical="center" wrapText="1"/>
    </xf>
    <xf numFmtId="0" fontId="8" fillId="13" borderId="22" xfId="29" applyFont="1" applyBorder="1" applyAlignment="1">
      <alignment horizontal="center" vertical="center" wrapText="1"/>
    </xf>
    <xf numFmtId="0" fontId="8" fillId="13" borderId="23" xfId="29" applyFont="1" applyBorder="1" applyAlignment="1">
      <alignment horizontal="center" vertical="center" wrapText="1"/>
    </xf>
    <xf numFmtId="0" fontId="8" fillId="13" borderId="24" xfId="29" applyFont="1" applyBorder="1" applyAlignment="1">
      <alignment horizontal="center" vertical="center" wrapText="1"/>
    </xf>
    <xf numFmtId="0" fontId="22" fillId="14" borderId="45" xfId="0" applyFont="1" applyFill="1" applyBorder="1" applyAlignment="1">
      <alignment horizontal="center" vertical="center" wrapText="1"/>
    </xf>
    <xf numFmtId="0" fontId="19" fillId="12" borderId="46" xfId="0" applyFont="1" applyFill="1" applyBorder="1" applyAlignment="1">
      <alignment vertical="center" wrapText="1"/>
    </xf>
    <xf numFmtId="0" fontId="19" fillId="12" borderId="47" xfId="0" applyFont="1" applyFill="1" applyBorder="1" applyAlignment="1">
      <alignment horizontal="left" vertical="center" wrapText="1"/>
    </xf>
    <xf numFmtId="0" fontId="19" fillId="12" borderId="46" xfId="0" applyFont="1" applyFill="1" applyBorder="1" applyAlignment="1">
      <alignment horizontal="center" vertical="center" wrapText="1"/>
    </xf>
    <xf numFmtId="0" fontId="19" fillId="12" borderId="48" xfId="0" applyFont="1" applyFill="1" applyBorder="1" applyAlignment="1">
      <alignment horizontal="center" vertical="center" wrapText="1"/>
    </xf>
    <xf numFmtId="0" fontId="22" fillId="10" borderId="45" xfId="0" applyFont="1" applyFill="1" applyBorder="1" applyAlignment="1">
      <alignment horizontal="center" vertical="center" wrapText="1"/>
    </xf>
    <xf numFmtId="0" fontId="22" fillId="19" borderId="45" xfId="0" applyFont="1" applyFill="1" applyBorder="1" applyAlignment="1">
      <alignment horizontal="center" vertical="center" wrapText="1"/>
    </xf>
    <xf numFmtId="0" fontId="23" fillId="4" borderId="49" xfId="0" applyFont="1" applyFill="1" applyBorder="1" applyAlignment="1">
      <alignment horizontal="center" vertical="center" wrapText="1"/>
    </xf>
    <xf numFmtId="0" fontId="19" fillId="12" borderId="50" xfId="0" applyFont="1" applyFill="1" applyBorder="1" applyAlignment="1">
      <alignment vertical="center" wrapText="1"/>
    </xf>
    <xf numFmtId="0" fontId="19" fillId="12" borderId="0" xfId="0" applyFont="1" applyFill="1" applyAlignment="1">
      <alignment horizontal="left" vertical="center" wrapText="1"/>
    </xf>
    <xf numFmtId="0" fontId="19" fillId="12" borderId="50" xfId="0" applyFont="1" applyFill="1" applyBorder="1" applyAlignment="1">
      <alignment horizontal="center" vertical="center" wrapText="1"/>
    </xf>
    <xf numFmtId="0" fontId="19" fillId="12" borderId="51" xfId="0" applyFont="1" applyFill="1" applyBorder="1" applyAlignment="1">
      <alignment horizontal="center" vertical="center" wrapText="1"/>
    </xf>
    <xf numFmtId="0" fontId="22" fillId="20" borderId="52" xfId="0" applyFont="1" applyFill="1" applyBorder="1" applyAlignment="1">
      <alignment horizontal="center" vertical="center" wrapText="1"/>
    </xf>
    <xf numFmtId="0" fontId="19" fillId="12" borderId="53" xfId="0" applyFont="1" applyFill="1" applyBorder="1" applyAlignment="1">
      <alignment vertical="center" wrapText="1"/>
    </xf>
    <xf numFmtId="0" fontId="19" fillId="12" borderId="54" xfId="0" applyFont="1" applyFill="1" applyBorder="1" applyAlignment="1">
      <alignment horizontal="left" vertical="center" wrapText="1"/>
    </xf>
    <xf numFmtId="0" fontId="19" fillId="12" borderId="53" xfId="0" applyFont="1" applyFill="1" applyBorder="1" applyAlignment="1">
      <alignment horizontal="center" vertical="center" wrapText="1"/>
    </xf>
    <xf numFmtId="0" fontId="19" fillId="12" borderId="55" xfId="0" applyFont="1" applyFill="1" applyBorder="1" applyAlignment="1">
      <alignment horizontal="center" vertical="center" wrapText="1"/>
    </xf>
    <xf numFmtId="0" fontId="10" fillId="13" borderId="42" xfId="29" applyFont="1" applyBorder="1" applyAlignment="1">
      <alignment horizontal="center" vertical="center" wrapText="1"/>
    </xf>
    <xf numFmtId="0" fontId="10" fillId="13" borderId="43" xfId="29" applyFont="1" applyBorder="1" applyAlignment="1">
      <alignment horizontal="center" vertical="center" wrapText="1"/>
    </xf>
    <xf numFmtId="0" fontId="10" fillId="13" borderId="44" xfId="29" applyFont="1" applyBorder="1" applyAlignment="1">
      <alignment horizontal="center" vertical="center" wrapText="1"/>
    </xf>
    <xf numFmtId="0" fontId="14" fillId="3" borderId="0" xfId="1" applyFont="1" applyFill="1" applyAlignment="1">
      <alignment horizontal="center" vertical="center" wrapText="1"/>
    </xf>
    <xf numFmtId="0" fontId="14" fillId="0" borderId="0" xfId="0" applyFont="1" applyAlignment="1">
      <alignment horizontal="center" vertical="center" wrapText="1"/>
    </xf>
    <xf numFmtId="0" fontId="8" fillId="11"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6" fillId="0" borderId="0" xfId="0" applyFont="1" applyAlignment="1">
      <alignment vertical="center" wrapText="1"/>
    </xf>
    <xf numFmtId="0" fontId="17" fillId="0" borderId="56" xfId="0" applyFont="1" applyBorder="1" applyAlignment="1">
      <alignment horizontal="center" vertical="center"/>
    </xf>
    <xf numFmtId="0" fontId="0" fillId="0" borderId="0" xfId="0" applyAlignment="1">
      <alignment horizontal="center" vertical="center"/>
    </xf>
    <xf numFmtId="0" fontId="17" fillId="0" borderId="0" xfId="0" applyFont="1" applyAlignment="1">
      <alignment horizontal="center" vertical="center"/>
    </xf>
    <xf numFmtId="0" fontId="16" fillId="0" borderId="0" xfId="0" applyFont="1" applyAlignment="1">
      <alignment vertical="center"/>
    </xf>
    <xf numFmtId="0" fontId="17" fillId="0" borderId="57" xfId="0" applyFont="1" applyBorder="1" applyAlignment="1">
      <alignment horizontal="center" vertical="center"/>
    </xf>
    <xf numFmtId="0" fontId="0" fillId="0" borderId="58" xfId="0" applyBorder="1" applyAlignment="1">
      <alignment horizontal="center" vertical="center"/>
    </xf>
    <xf numFmtId="0" fontId="17" fillId="0" borderId="59" xfId="0" applyFont="1" applyBorder="1" applyAlignment="1">
      <alignment horizontal="center" vertical="center"/>
    </xf>
    <xf numFmtId="0" fontId="0" fillId="0" borderId="62" xfId="0" applyBorder="1" applyAlignment="1">
      <alignment horizontal="center" vertical="center"/>
    </xf>
    <xf numFmtId="0" fontId="0" fillId="0" borderId="63" xfId="0" applyBorder="1" applyAlignment="1">
      <alignment horizontal="center" vertical="center"/>
    </xf>
    <xf numFmtId="0" fontId="17" fillId="0" borderId="64" xfId="0" applyFont="1" applyBorder="1" applyAlignment="1">
      <alignment horizontal="center" vertical="center"/>
    </xf>
    <xf numFmtId="0" fontId="17" fillId="0" borderId="65" xfId="0" applyFont="1" applyBorder="1" applyAlignment="1">
      <alignment horizontal="center" vertical="center"/>
    </xf>
    <xf numFmtId="0" fontId="17" fillId="0" borderId="66" xfId="0" applyFont="1" applyBorder="1" applyAlignment="1">
      <alignment horizontal="center" vertical="center"/>
    </xf>
    <xf numFmtId="0" fontId="17" fillId="0" borderId="67" xfId="0" applyFont="1" applyBorder="1" applyAlignment="1">
      <alignment horizontal="center" vertical="center"/>
    </xf>
    <xf numFmtId="0" fontId="17" fillId="0" borderId="68" xfId="0" applyFont="1" applyBorder="1" applyAlignment="1">
      <alignment horizontal="center" vertical="center"/>
    </xf>
    <xf numFmtId="0" fontId="17" fillId="0" borderId="69" xfId="0" applyFont="1" applyBorder="1" applyAlignment="1">
      <alignment horizontal="center" vertical="center"/>
    </xf>
    <xf numFmtId="0" fontId="2" fillId="0" borderId="58" xfId="0" applyFont="1" applyBorder="1" applyAlignment="1">
      <alignment horizontal="center" vertical="center"/>
    </xf>
    <xf numFmtId="0" fontId="2" fillId="0" borderId="62" xfId="0" applyFont="1" applyBorder="1" applyAlignment="1">
      <alignment horizontal="center" vertical="center"/>
    </xf>
    <xf numFmtId="0" fontId="2" fillId="0" borderId="63" xfId="0" applyFont="1" applyBorder="1" applyAlignment="1">
      <alignment horizontal="center" vertical="center"/>
    </xf>
    <xf numFmtId="0" fontId="2" fillId="0" borderId="0" xfId="0" applyFont="1" applyAlignment="1">
      <alignment horizontal="center" vertical="center"/>
    </xf>
    <xf numFmtId="0" fontId="2" fillId="0" borderId="0" xfId="0" applyFont="1"/>
    <xf numFmtId="1" fontId="0" fillId="0" borderId="0" xfId="0" applyNumberFormat="1"/>
    <xf numFmtId="1" fontId="2" fillId="0" borderId="0" xfId="0" quotePrefix="1" applyNumberFormat="1" applyFont="1"/>
    <xf numFmtId="17" fontId="0" fillId="0" borderId="0" xfId="0" applyNumberFormat="1"/>
    <xf numFmtId="16" fontId="0" fillId="0" borderId="0" xfId="0" applyNumberFormat="1"/>
    <xf numFmtId="0" fontId="17" fillId="0" borderId="71" xfId="0" applyFont="1" applyBorder="1" applyAlignment="1">
      <alignment horizontal="center" vertical="center"/>
    </xf>
    <xf numFmtId="0" fontId="17" fillId="0" borderId="72" xfId="0" applyFont="1" applyBorder="1" applyAlignment="1">
      <alignment horizontal="center" vertical="center"/>
    </xf>
    <xf numFmtId="0" fontId="17" fillId="0" borderId="73" xfId="0" applyFont="1" applyBorder="1" applyAlignment="1">
      <alignment horizontal="center" vertical="center"/>
    </xf>
    <xf numFmtId="0" fontId="17" fillId="0" borderId="74" xfId="0" applyFont="1" applyBorder="1" applyAlignment="1">
      <alignment horizontal="center" vertical="center"/>
    </xf>
    <xf numFmtId="0" fontId="0" fillId="0" borderId="74" xfId="0" applyBorder="1" applyAlignment="1">
      <alignment horizontal="center" vertical="center"/>
    </xf>
    <xf numFmtId="0" fontId="8" fillId="11" borderId="53" xfId="0" applyFont="1" applyFill="1" applyBorder="1" applyAlignment="1">
      <alignment horizontal="center" vertical="center" wrapText="1"/>
    </xf>
    <xf numFmtId="0" fontId="0" fillId="0" borderId="70" xfId="0" applyBorder="1" applyAlignment="1">
      <alignment horizontal="center" vertical="center"/>
    </xf>
    <xf numFmtId="0" fontId="0" fillId="0" borderId="75" xfId="0" applyBorder="1" applyAlignment="1">
      <alignment horizontal="center" vertical="center"/>
    </xf>
    <xf numFmtId="0" fontId="0" fillId="0" borderId="76" xfId="0" applyBorder="1" applyAlignment="1">
      <alignment horizontal="center" vertical="center"/>
    </xf>
    <xf numFmtId="0" fontId="2" fillId="0" borderId="77" xfId="0" applyFont="1" applyBorder="1" applyAlignment="1">
      <alignment horizontal="center" vertical="center"/>
    </xf>
    <xf numFmtId="0" fontId="27" fillId="11" borderId="10" xfId="0" applyFont="1" applyFill="1" applyBorder="1" applyAlignment="1">
      <alignment horizontal="center" vertical="center"/>
    </xf>
    <xf numFmtId="0" fontId="28" fillId="5" borderId="12" xfId="0" applyFont="1" applyFill="1" applyBorder="1" applyAlignment="1">
      <alignment horizontal="center"/>
    </xf>
    <xf numFmtId="0" fontId="15" fillId="5" borderId="0" xfId="0" applyFont="1" applyFill="1" applyAlignment="1">
      <alignment vertical="center"/>
    </xf>
    <xf numFmtId="0" fontId="0" fillId="5" borderId="0" xfId="0" applyFill="1"/>
    <xf numFmtId="0" fontId="10" fillId="0" borderId="0" xfId="1" applyFont="1"/>
    <xf numFmtId="0" fontId="11" fillId="0" borderId="0" xfId="1" applyFont="1"/>
    <xf numFmtId="0" fontId="13" fillId="0" borderId="0" xfId="1" applyFont="1" applyAlignment="1">
      <alignment horizontal="right"/>
    </xf>
    <xf numFmtId="0" fontId="8" fillId="0" borderId="10" xfId="0" applyFont="1" applyBorder="1" applyAlignment="1">
      <alignment horizontal="center" vertical="center" wrapText="1"/>
    </xf>
    <xf numFmtId="0" fontId="8" fillId="0" borderId="0" xfId="0" applyFont="1" applyAlignment="1">
      <alignment horizontal="center" vertical="center" wrapText="1"/>
    </xf>
    <xf numFmtId="0" fontId="0" fillId="0" borderId="1" xfId="0" applyBorder="1"/>
    <xf numFmtId="0" fontId="33" fillId="5" borderId="0" xfId="1" applyFont="1" applyFill="1" applyAlignment="1">
      <alignment vertical="center"/>
    </xf>
    <xf numFmtId="0" fontId="26" fillId="11" borderId="10" xfId="0" applyFont="1" applyFill="1" applyBorder="1" applyAlignment="1">
      <alignment horizontal="center" vertical="center"/>
    </xf>
    <xf numFmtId="0" fontId="10" fillId="11" borderId="0" xfId="0" applyFont="1" applyFill="1" applyAlignment="1">
      <alignment horizontal="center"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horizontal="center" wrapText="1"/>
    </xf>
    <xf numFmtId="0" fontId="17" fillId="0" borderId="78" xfId="0" applyFont="1" applyBorder="1" applyAlignment="1">
      <alignment horizontal="center" vertical="center"/>
    </xf>
    <xf numFmtId="0" fontId="17" fillId="0" borderId="79" xfId="0" applyFont="1" applyBorder="1" applyAlignment="1">
      <alignment horizontal="center" vertical="center"/>
    </xf>
    <xf numFmtId="0" fontId="2" fillId="0" borderId="0" xfId="0" applyFont="1" applyAlignment="1">
      <alignment horizontal="center" wrapText="1"/>
    </xf>
    <xf numFmtId="0" fontId="37" fillId="0" borderId="0" xfId="0" applyFont="1"/>
    <xf numFmtId="0" fontId="39" fillId="0" borderId="0" xfId="0" applyFont="1"/>
    <xf numFmtId="0" fontId="40" fillId="0" borderId="0" xfId="0" applyFont="1" applyAlignment="1">
      <alignment vertical="center"/>
    </xf>
    <xf numFmtId="0" fontId="40" fillId="0" borderId="0" xfId="0" applyFont="1" applyAlignment="1">
      <alignment vertical="center" wrapText="1"/>
    </xf>
    <xf numFmtId="0" fontId="3" fillId="0" borderId="0" xfId="0" applyFont="1" applyAlignment="1">
      <alignment horizontal="center" vertical="center"/>
    </xf>
    <xf numFmtId="0" fontId="44" fillId="5" borderId="0" xfId="1" applyFont="1" applyFill="1"/>
    <xf numFmtId="0" fontId="2" fillId="0" borderId="0" xfId="0" applyFont="1" applyAlignment="1">
      <alignment vertical="center"/>
    </xf>
    <xf numFmtId="0" fontId="26" fillId="0" borderId="0" xfId="0" applyFont="1" applyAlignment="1">
      <alignment horizontal="center" vertical="center"/>
    </xf>
    <xf numFmtId="0" fontId="10" fillId="0" borderId="0" xfId="0" applyFont="1" applyAlignment="1">
      <alignment horizontal="center" vertical="center" wrapText="1"/>
    </xf>
    <xf numFmtId="0" fontId="10" fillId="13" borderId="38" xfId="29" applyFont="1" applyBorder="1" applyAlignment="1"/>
    <xf numFmtId="0" fontId="24" fillId="0" borderId="39" xfId="0" applyFont="1" applyBorder="1"/>
    <xf numFmtId="0" fontId="10" fillId="13" borderId="40" xfId="29" applyFont="1" applyBorder="1" applyAlignment="1">
      <alignment horizontal="center"/>
    </xf>
    <xf numFmtId="0" fontId="10" fillId="13" borderId="41" xfId="29" applyFont="1" applyBorder="1" applyAlignment="1">
      <alignment horizontal="center"/>
    </xf>
    <xf numFmtId="0" fontId="8" fillId="13" borderId="13" xfId="29" applyFont="1" applyBorder="1" applyAlignment="1">
      <alignment horizontal="center" vertical="center" wrapText="1"/>
    </xf>
    <xf numFmtId="0" fontId="8" fillId="13" borderId="19" xfId="29" applyFont="1" applyBorder="1" applyAlignment="1">
      <alignment horizontal="center" vertical="center" wrapText="1"/>
    </xf>
    <xf numFmtId="0" fontId="8" fillId="13" borderId="14" xfId="29" applyFont="1" applyBorder="1" applyAlignment="1">
      <alignment horizontal="center" vertical="center" wrapText="1"/>
    </xf>
    <xf numFmtId="0" fontId="8" fillId="13" borderId="20" xfId="29" applyFont="1" applyBorder="1" applyAlignment="1">
      <alignment horizontal="center" vertical="center" wrapText="1"/>
    </xf>
    <xf numFmtId="0" fontId="8" fillId="13" borderId="15" xfId="29" applyFont="1" applyBorder="1" applyAlignment="1">
      <alignment horizontal="center" vertical="center" wrapText="1"/>
    </xf>
    <xf numFmtId="0" fontId="8" fillId="13" borderId="21" xfId="29" applyFont="1" applyBorder="1" applyAlignment="1">
      <alignment horizontal="center" vertical="center" wrapText="1"/>
    </xf>
    <xf numFmtId="0" fontId="10" fillId="13" borderId="16" xfId="29" applyFont="1" applyBorder="1" applyAlignment="1">
      <alignment horizontal="center" vertical="center" wrapText="1"/>
    </xf>
    <xf numFmtId="0" fontId="10" fillId="13" borderId="17" xfId="29" applyFont="1" applyBorder="1" applyAlignment="1">
      <alignment horizontal="center" vertical="center" wrapText="1"/>
    </xf>
    <xf numFmtId="0" fontId="10" fillId="13" borderId="18" xfId="29" applyFont="1" applyBorder="1" applyAlignment="1">
      <alignment horizontal="center" vertical="center" wrapText="1"/>
    </xf>
    <xf numFmtId="0" fontId="21" fillId="15" borderId="35" xfId="0" applyFont="1" applyFill="1" applyBorder="1" applyAlignment="1">
      <alignment horizontal="center" vertical="center" wrapText="1"/>
    </xf>
    <xf numFmtId="0" fontId="21" fillId="15" borderId="36" xfId="0" applyFont="1" applyFill="1" applyBorder="1" applyAlignment="1">
      <alignment horizontal="center" vertical="center" wrapText="1"/>
    </xf>
    <xf numFmtId="0" fontId="21" fillId="15" borderId="37" xfId="0" applyFont="1" applyFill="1" applyBorder="1" applyAlignment="1">
      <alignment horizontal="center" vertical="center" wrapText="1"/>
    </xf>
    <xf numFmtId="0" fontId="28" fillId="5" borderId="12" xfId="1" applyFont="1" applyFill="1" applyBorder="1" applyAlignment="1">
      <alignment horizontal="center"/>
    </xf>
    <xf numFmtId="0" fontId="32" fillId="0" borderId="12" xfId="0" applyFont="1" applyBorder="1" applyAlignment="1">
      <alignment horizontal="center"/>
    </xf>
    <xf numFmtId="0" fontId="26" fillId="23" borderId="60" xfId="0" applyFont="1" applyFill="1" applyBorder="1" applyAlignment="1">
      <alignment horizontal="center" vertical="center" textRotation="90" wrapText="1"/>
    </xf>
    <xf numFmtId="0" fontId="29" fillId="23" borderId="61" xfId="0" applyFont="1" applyFill="1" applyBorder="1" applyAlignment="1">
      <alignment horizontal="center" vertical="center" textRotation="90" wrapText="1"/>
    </xf>
    <xf numFmtId="0" fontId="29" fillId="23" borderId="6" xfId="0" applyFont="1" applyFill="1" applyBorder="1" applyAlignment="1">
      <alignment horizontal="center" vertical="center" textRotation="90" wrapText="1"/>
    </xf>
    <xf numFmtId="0" fontId="25" fillId="0" borderId="80" xfId="0" applyFont="1" applyBorder="1" applyAlignment="1">
      <alignment horizontal="center"/>
    </xf>
    <xf numFmtId="0" fontId="43" fillId="5" borderId="12" xfId="1" applyFont="1" applyFill="1" applyBorder="1" applyAlignment="1">
      <alignment horizontal="center" vertical="center"/>
    </xf>
    <xf numFmtId="0" fontId="38" fillId="0" borderId="12" xfId="0" applyFont="1" applyBorder="1" applyAlignment="1">
      <alignment horizontal="center" vertical="center"/>
    </xf>
    <xf numFmtId="164" fontId="43" fillId="5" borderId="12" xfId="1" applyNumberFormat="1" applyFont="1" applyFill="1" applyBorder="1" applyAlignment="1">
      <alignment horizontal="center" vertical="center"/>
    </xf>
    <xf numFmtId="0" fontId="45" fillId="0" borderId="1" xfId="0" applyFont="1" applyBorder="1" applyAlignment="1">
      <alignment vertical="top" wrapText="1"/>
    </xf>
    <xf numFmtId="0" fontId="46" fillId="0" borderId="1" xfId="0" applyFont="1" applyBorder="1" applyAlignment="1">
      <alignment vertical="top" wrapText="1"/>
    </xf>
    <xf numFmtId="0" fontId="47" fillId="0" borderId="1" xfId="0" applyFont="1" applyBorder="1" applyAlignment="1">
      <alignment vertical="top" wrapText="1"/>
    </xf>
    <xf numFmtId="0" fontId="48" fillId="0" borderId="1" xfId="0" applyFont="1" applyBorder="1" applyAlignment="1">
      <alignment vertical="top"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26" fillId="22" borderId="60" xfId="0" applyFont="1" applyFill="1" applyBorder="1" applyAlignment="1">
      <alignment horizontal="center" vertical="center" textRotation="90" wrapText="1"/>
    </xf>
    <xf numFmtId="0" fontId="29" fillId="22" borderId="61" xfId="0" applyFont="1" applyFill="1" applyBorder="1" applyAlignment="1">
      <alignment horizontal="center" vertical="center" textRotation="90" wrapText="1"/>
    </xf>
    <xf numFmtId="0" fontId="30" fillId="21" borderId="60" xfId="0" applyFont="1" applyFill="1" applyBorder="1" applyAlignment="1">
      <alignment horizontal="center" vertical="center" textRotation="90" wrapText="1"/>
    </xf>
    <xf numFmtId="0" fontId="30" fillId="21" borderId="61" xfId="0" applyFont="1" applyFill="1" applyBorder="1" applyAlignment="1">
      <alignment horizontal="center" vertical="center" textRotation="90" wrapText="1"/>
    </xf>
    <xf numFmtId="0" fontId="30" fillId="21" borderId="6" xfId="0" applyFont="1" applyFill="1" applyBorder="1" applyAlignment="1">
      <alignment horizontal="center" vertical="center" textRotation="90" wrapText="1"/>
    </xf>
    <xf numFmtId="0" fontId="3" fillId="0" borderId="0" xfId="0" applyFont="1" applyBorder="1" applyAlignment="1">
      <alignment horizontal="center" vertical="center"/>
    </xf>
    <xf numFmtId="0" fontId="2" fillId="0" borderId="0" xfId="0" applyFont="1" applyBorder="1" applyAlignment="1">
      <alignment horizontal="center" vertical="center"/>
    </xf>
    <xf numFmtId="0" fontId="2" fillId="0" borderId="81" xfId="0" applyFont="1" applyBorder="1" applyAlignment="1">
      <alignment horizontal="center" vertical="center"/>
    </xf>
    <xf numFmtId="0" fontId="8" fillId="11" borderId="0" xfId="0" applyFont="1" applyFill="1" applyBorder="1" applyAlignment="1">
      <alignment horizontal="center" vertical="center" wrapText="1"/>
    </xf>
    <xf numFmtId="0" fontId="31" fillId="12" borderId="60" xfId="0" applyFont="1" applyFill="1" applyBorder="1" applyAlignment="1">
      <alignment horizontal="center" vertical="center" textRotation="90" wrapText="1"/>
    </xf>
    <xf numFmtId="0" fontId="31" fillId="12" borderId="61" xfId="0" applyFont="1" applyFill="1" applyBorder="1" applyAlignment="1">
      <alignment horizontal="center" vertical="center" textRotation="90" wrapText="1"/>
    </xf>
    <xf numFmtId="0" fontId="31" fillId="12" borderId="6" xfId="0" applyFont="1" applyFill="1" applyBorder="1" applyAlignment="1">
      <alignment horizontal="center" vertical="center" textRotation="90" wrapText="1"/>
    </xf>
    <xf numFmtId="0" fontId="0" fillId="0" borderId="82" xfId="0" applyBorder="1" applyAlignment="1">
      <alignment horizontal="center" vertical="center"/>
    </xf>
    <xf numFmtId="0" fontId="0" fillId="0" borderId="83" xfId="0" applyBorder="1" applyAlignment="1">
      <alignment horizontal="center" vertical="center"/>
    </xf>
    <xf numFmtId="0" fontId="0" fillId="0" borderId="84" xfId="0" applyBorder="1" applyAlignment="1">
      <alignment horizontal="center" vertical="center"/>
    </xf>
  </cellXfs>
  <cellStyles count="30">
    <cellStyle name="_Enterprise Storage Management" xfId="2" xr:uid="{00000000-0005-0000-0000-000000000000}"/>
    <cellStyle name="Accent1" xfId="29" builtinId="29"/>
    <cellStyle name="Comma 2" xfId="3" xr:uid="{00000000-0005-0000-0000-000002000000}"/>
    <cellStyle name="Currency 2" xfId="4" xr:uid="{00000000-0005-0000-0000-000003000000}"/>
    <cellStyle name="Currency 5" xfId="5" xr:uid="{00000000-0005-0000-0000-000004000000}"/>
    <cellStyle name="Data" xfId="6" xr:uid="{00000000-0005-0000-0000-000005000000}"/>
    <cellStyle name="Input Cell" xfId="7" xr:uid="{00000000-0005-0000-0000-000007000000}"/>
    <cellStyle name="Input Cell Adv User" xfId="8" xr:uid="{00000000-0005-0000-0000-000008000000}"/>
    <cellStyle name="Normal" xfId="0" builtinId="0"/>
    <cellStyle name="Normal 10" xfId="9" xr:uid="{00000000-0005-0000-0000-00000A000000}"/>
    <cellStyle name="Normal 11" xfId="10" xr:uid="{00000000-0005-0000-0000-00000B000000}"/>
    <cellStyle name="Normal 12" xfId="11" xr:uid="{00000000-0005-0000-0000-00000C000000}"/>
    <cellStyle name="Normal 13" xfId="12" xr:uid="{00000000-0005-0000-0000-00000D000000}"/>
    <cellStyle name="Normal 18" xfId="13" xr:uid="{00000000-0005-0000-0000-00000E000000}"/>
    <cellStyle name="Normal 2" xfId="1" xr:uid="{00000000-0005-0000-0000-00000F000000}"/>
    <cellStyle name="Normal 2 10 10" xfId="14" xr:uid="{00000000-0005-0000-0000-000010000000}"/>
    <cellStyle name="Normal 2 2" xfId="15" xr:uid="{00000000-0005-0000-0000-000011000000}"/>
    <cellStyle name="Normal 20" xfId="16" xr:uid="{00000000-0005-0000-0000-000012000000}"/>
    <cellStyle name="Normal 3" xfId="17" xr:uid="{00000000-0005-0000-0000-000013000000}"/>
    <cellStyle name="Normal 5" xfId="18" xr:uid="{00000000-0005-0000-0000-000014000000}"/>
    <cellStyle name="Normal 6" xfId="19" xr:uid="{00000000-0005-0000-0000-000015000000}"/>
    <cellStyle name="Normal 7" xfId="20" xr:uid="{00000000-0005-0000-0000-000016000000}"/>
    <cellStyle name="Normal 8" xfId="21" xr:uid="{00000000-0005-0000-0000-000017000000}"/>
    <cellStyle name="Normal 9" xfId="22" xr:uid="{00000000-0005-0000-0000-000018000000}"/>
    <cellStyle name="Note 2" xfId="23" xr:uid="{00000000-0005-0000-0000-000019000000}"/>
    <cellStyle name="Percent 10" xfId="24" xr:uid="{00000000-0005-0000-0000-00001A000000}"/>
    <cellStyle name="Percent 2" xfId="25" xr:uid="{00000000-0005-0000-0000-00001B000000}"/>
    <cellStyle name="Percent 3" xfId="26" xr:uid="{00000000-0005-0000-0000-00001C000000}"/>
    <cellStyle name="Row Title" xfId="27" xr:uid="{00000000-0005-0000-0000-00001D000000}"/>
    <cellStyle name="Style 1" xfId="28" xr:uid="{00000000-0005-0000-0000-00001E000000}"/>
  </cellStyles>
  <dxfs count="619">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rgb="FFFFFF00"/>
        </patternFill>
      </fill>
    </dxf>
    <dxf>
      <fill>
        <patternFill>
          <bgColor rgb="FFFF5B5B"/>
        </patternFill>
      </fill>
    </dxf>
    <dxf>
      <fill>
        <patternFill>
          <bgColor rgb="FFC00000"/>
        </patternFill>
      </fill>
    </dxf>
    <dxf>
      <fill>
        <patternFill>
          <bgColor rgb="FF00B050"/>
        </patternFill>
      </fill>
    </dxf>
    <dxf>
      <fill>
        <patternFill>
          <bgColor rgb="FF92D05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theme="0" tint="-0.14996795556505021"/>
        </patternFill>
      </fill>
    </dxf>
    <dxf>
      <fill>
        <patternFill>
          <bgColor rgb="FF92D050"/>
        </patternFill>
      </fill>
    </dxf>
    <dxf>
      <fill>
        <patternFill>
          <bgColor rgb="FFFFFF00"/>
        </patternFill>
      </fill>
    </dxf>
    <dxf>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ont>
        <color auto="1"/>
      </font>
      <fill>
        <patternFill>
          <bgColor rgb="FFFF0000"/>
        </patternFill>
      </fill>
    </dxf>
    <dxf>
      <fill>
        <patternFill>
          <bgColor rgb="FFFFC000"/>
        </patternFill>
      </fill>
    </dxf>
    <dxf>
      <fill>
        <patternFill>
          <bgColor theme="0" tint="-0.14996795556505021"/>
        </patternFill>
      </fill>
    </dxf>
    <dxf>
      <fill>
        <patternFill>
          <bgColor rgb="FF92D050"/>
        </patternFill>
      </fill>
    </dxf>
    <dxf>
      <fill>
        <patternFill>
          <bgColor rgb="FFFFFF00"/>
        </patternFill>
      </fill>
    </dxf>
    <dxf>
      <font>
        <sz val="11"/>
        <name val="Square721 BT"/>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medium">
          <color auto="1"/>
        </left>
        <right/>
        <top/>
        <bottom/>
      </border>
    </dxf>
    <dxf>
      <font>
        <sz val="11"/>
        <name val="Square721 BT"/>
        <scheme val="none"/>
      </font>
      <fill>
        <patternFill patternType="solid">
          <fgColor indexed="64"/>
          <bgColor theme="0" tint="-0.14999847407452621"/>
        </patternFill>
      </fill>
      <alignment horizontal="center" vertical="center" textRotation="0" wrapText="1" indent="0" justifyLastLine="0" shrinkToFit="0" readingOrder="0"/>
    </dxf>
    <dxf>
      <font>
        <sz val="11"/>
        <name val="Square721 BT"/>
        <scheme val="none"/>
      </font>
      <fill>
        <patternFill patternType="solid">
          <fgColor indexed="64"/>
          <bgColor theme="0" tint="-0.14999847407452621"/>
        </patternFill>
      </fill>
      <alignment horizontal="left" vertical="center" textRotation="0" wrapText="1" indent="0" justifyLastLine="0" shrinkToFit="0" readingOrder="0"/>
      <border diagonalUp="0" diagonalDown="0" outline="0">
        <left style="thin">
          <color auto="1"/>
        </left>
        <right style="medium">
          <color auto="1"/>
        </right>
        <top/>
        <bottom/>
      </border>
    </dxf>
    <dxf>
      <font>
        <sz val="11"/>
        <name val="Square721 BT"/>
        <scheme val="none"/>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auto="1"/>
        </left>
        <right/>
        <top/>
        <bottom/>
      </border>
    </dxf>
    <dxf>
      <alignment horizontal="general" vertical="bottom" textRotation="0" wrapText="1" indent="0" justifyLastLine="0" shrinkToFit="0" readingOrder="0"/>
      <border diagonalUp="0" diagonalDown="0">
        <left/>
        <right style="thin">
          <color auto="1"/>
        </right>
        <top/>
        <bottom/>
        <vertical style="thin">
          <color auto="1"/>
        </vertical>
        <horizontal/>
      </border>
    </dxf>
    <dxf>
      <border diagonalUp="0" diagonalDown="0">
        <left style="medium">
          <color indexed="64"/>
        </left>
        <right style="medium">
          <color indexed="64"/>
        </right>
        <top style="medium">
          <color indexed="64"/>
        </top>
        <bottom style="medium">
          <color indexed="64"/>
        </bottom>
      </border>
    </dxf>
    <dxf>
      <alignment horizontal="general" vertical="bottom" textRotation="0" wrapText="1" indent="0" justifyLastLine="0" shrinkToFit="0" readingOrder="0"/>
    </dxf>
    <dxf>
      <border>
        <bottom style="medium">
          <color indexed="64"/>
        </bottom>
      </border>
    </dxf>
    <dxf>
      <font>
        <b/>
        <strike val="0"/>
        <outline val="0"/>
        <shadow val="0"/>
        <u val="none"/>
        <vertAlign val="baseline"/>
        <sz val="12"/>
      </font>
      <alignment horizontal="center" vertical="center" textRotation="0" wrapText="1" indent="0" justifyLastLine="0" shrinkToFit="0" readingOrder="0"/>
      <border diagonalUp="0" diagonalDown="0"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608B2D"/>
      <rgbColor rgb="00DCDCDC"/>
      <rgbColor rgb="006464FF"/>
      <rgbColor rgb="00BFBFBF"/>
      <rgbColor rgb="00696969"/>
      <rgbColor rgb="00FFFF00"/>
      <rgbColor rgb="00D26308"/>
      <rgbColor rgb="00F3CF74"/>
      <rgbColor rgb="00FFFFFF"/>
      <rgbColor rgb="00EFB643"/>
      <rgbColor rgb="00CCFFCC"/>
      <rgbColor rgb="000000FF"/>
      <rgbColor rgb="00C0C0C0"/>
      <rgbColor rgb="00808080"/>
      <rgbColor rgb="00066BB0"/>
      <rgbColor rgb="004C9BDC"/>
      <rgbColor rgb="0076B2E4"/>
      <rgbColor rgb="00A5CCED"/>
      <rgbColor rgb="00DCDCDC"/>
      <rgbColor rgb="00BFBFBF"/>
      <rgbColor rgb="00939393"/>
      <rgbColor rgb="00696969"/>
      <rgbColor rgb="00066BB0"/>
      <rgbColor rgb="004C9BDC"/>
      <rgbColor rgb="0076B2E4"/>
      <rgbColor rgb="00A5CCED"/>
      <rgbColor rgb="00DCDCDC"/>
      <rgbColor rgb="00BFBFBF"/>
      <rgbColor rgb="00939393"/>
      <rgbColor rgb="00696969"/>
      <rgbColor rgb="00FFFF96"/>
      <rgbColor rgb="00FF0000"/>
      <rgbColor rgb="00A5CCED"/>
      <rgbColor rgb="0076B2E4"/>
      <rgbColor rgb="00FF6464"/>
      <rgbColor rgb="00066BB0"/>
      <rgbColor rgb="00FFCC99"/>
      <rgbColor rgb="004C9CDC"/>
      <rgbColor rgb="0064FF64"/>
      <rgbColor rgb="0000FF00"/>
      <rgbColor rgb="00AFE06E"/>
      <rgbColor rgb="00939393"/>
      <rgbColor rgb="007DB935"/>
      <rgbColor rgb="00F18917"/>
      <rgbColor rgb="00FF99CC"/>
      <rgbColor rgb="00969696"/>
      <rgbColor rgb="00FFFFFF"/>
      <rgbColor rgb="00DAF0A8"/>
      <rgbColor rgb="00FFFFFF"/>
      <rgbColor rgb="00FFFFFF"/>
      <rgbColor rgb="00D50D39"/>
      <rgbColor rgb="00FFFF99"/>
      <rgbColor rgb="00CC99FF"/>
      <rgbColor rgb="00333333"/>
    </indexedColors>
    <mruColors>
      <color rgb="FF4E81BE"/>
      <color rgb="FF4174B1"/>
      <color rgb="FFFF5B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oneCellAnchor>
    <xdr:from>
      <xdr:col>1</xdr:col>
      <xdr:colOff>38100</xdr:colOff>
      <xdr:row>2</xdr:row>
      <xdr:rowOff>304800</xdr:rowOff>
    </xdr:from>
    <xdr:ext cx="6924675" cy="280205"/>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90500" y="609600"/>
          <a:ext cx="692467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U" sz="1200" i="0"/>
        </a:p>
      </xdr:txBody>
    </xdr:sp>
    <xdr:clientData/>
  </xdr:oneCellAnchor>
  <xdr:oneCellAnchor>
    <xdr:from>
      <xdr:col>1</xdr:col>
      <xdr:colOff>19050</xdr:colOff>
      <xdr:row>0</xdr:row>
      <xdr:rowOff>76200</xdr:rowOff>
    </xdr:from>
    <xdr:ext cx="2808718" cy="530658"/>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71450" y="76200"/>
          <a:ext cx="2808718"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2800" b="1" baseline="0"/>
            <a:t>Risk "Likelihood" </a:t>
          </a:r>
          <a:endParaRPr lang="en-AU" sz="2800" b="1"/>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238125</xdr:colOff>
      <xdr:row>3</xdr:row>
      <xdr:rowOff>85725</xdr:rowOff>
    </xdr:from>
    <xdr:ext cx="6924675" cy="468077"/>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38125" y="571500"/>
          <a:ext cx="692467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t>Confirm your organisation's rating system for the "</a:t>
          </a:r>
          <a:r>
            <a:rPr lang="en-AU" sz="1200" b="1" i="1"/>
            <a:t>Impact</a:t>
          </a:r>
          <a:r>
            <a:rPr lang="en-AU" sz="1200"/>
            <a:t>"</a:t>
          </a:r>
          <a:r>
            <a:rPr lang="en-AU" sz="1200" baseline="0"/>
            <a:t> of each risk element.   The table below is a reasonably common way of achieving this but feel free to modify to suit your own circumstances.</a:t>
          </a:r>
          <a:endParaRPr lang="en-AU" sz="1200"/>
        </a:p>
      </xdr:txBody>
    </xdr:sp>
    <xdr:clientData/>
  </xdr:oneCellAnchor>
  <xdr:oneCellAnchor>
    <xdr:from>
      <xdr:col>1</xdr:col>
      <xdr:colOff>28575</xdr:colOff>
      <xdr:row>0</xdr:row>
      <xdr:rowOff>57150</xdr:rowOff>
    </xdr:from>
    <xdr:ext cx="4885055" cy="530658"/>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04800" y="57150"/>
          <a:ext cx="488505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2800" b="1"/>
            <a:t>Agree</a:t>
          </a:r>
          <a:r>
            <a:rPr lang="en-AU" sz="2800" b="1" baseline="0"/>
            <a:t> risk "Impact" rating scale</a:t>
          </a:r>
          <a:endParaRPr lang="en-AU" sz="2800" b="1"/>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57150</xdr:colOff>
      <xdr:row>3</xdr:row>
      <xdr:rowOff>28575</xdr:rowOff>
    </xdr:from>
    <xdr:ext cx="13487400" cy="468077"/>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7150" y="571500"/>
          <a:ext cx="1348740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t>This is our risk tolerance across major domains</a:t>
          </a:r>
          <a:r>
            <a:rPr lang="en-AU" sz="1200" baseline="0"/>
            <a:t> (What is acceptible and what is not).  The table below is a handy way to begin this process and it can be modified as we see fit to incorporate additional domains or control areas.</a:t>
          </a:r>
          <a:endParaRPr lang="en-AU" sz="1200"/>
        </a:p>
      </xdr:txBody>
    </xdr:sp>
    <xdr:clientData/>
  </xdr:oneCellAnchor>
  <xdr:oneCellAnchor>
    <xdr:from>
      <xdr:col>0</xdr:col>
      <xdr:colOff>83820</xdr:colOff>
      <xdr:row>0</xdr:row>
      <xdr:rowOff>38100</xdr:rowOff>
    </xdr:from>
    <xdr:ext cx="7118552" cy="530658"/>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83820" y="38100"/>
          <a:ext cx="711855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2800" b="1"/>
            <a:t>Establishing </a:t>
          </a:r>
          <a:r>
            <a:rPr lang="en-AU" sz="2800" b="1" i="1" baseline="0"/>
            <a:t>risk tolerance </a:t>
          </a:r>
          <a:r>
            <a:rPr lang="en-AU" sz="2800" b="1" baseline="0"/>
            <a:t>for our organisation</a:t>
          </a:r>
          <a:endParaRPr lang="en-AU" sz="2800" b="1"/>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58239</xdr:colOff>
      <xdr:row>1</xdr:row>
      <xdr:rowOff>439783</xdr:rowOff>
    </xdr:from>
    <xdr:ext cx="13487400" cy="904923"/>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8239" y="652695"/>
          <a:ext cx="13487400" cy="9049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t>Start by rating the </a:t>
          </a:r>
          <a:r>
            <a:rPr lang="en-US" sz="1200" i="1"/>
            <a:t>Likelihood</a:t>
          </a:r>
          <a:r>
            <a:rPr lang="en-US" sz="1200"/>
            <a:t> and </a:t>
          </a:r>
          <a:r>
            <a:rPr lang="en-US" sz="1200" i="1"/>
            <a:t>Impact</a:t>
          </a:r>
          <a:r>
            <a:rPr lang="en-US" sz="1200"/>
            <a:t> of each risk in columns E and F. Then, identify any compensating controls and describe them in the "Mitigation Description" column, adjusting the ratings accordingly. If no compensating controls exist, retain the original ratings. The "Residual Risk" section will automatically calculate the final risk position based on your inputs. Use the results to create a dashboard summarizing risk changes and prepare a business case to articulate these changes at a business level.</a:t>
          </a:r>
          <a:endParaRPr lang="en-AU" sz="1200"/>
        </a:p>
      </xdr:txBody>
    </xdr:sp>
    <xdr:clientData/>
  </xdr:oneCellAnchor>
  <xdr:oneCellAnchor>
    <xdr:from>
      <xdr:col>0</xdr:col>
      <xdr:colOff>86814</xdr:colOff>
      <xdr:row>0</xdr:row>
      <xdr:rowOff>58239</xdr:rowOff>
    </xdr:from>
    <xdr:ext cx="6046784" cy="530658"/>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86814" y="58239"/>
          <a:ext cx="604678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2800" b="1"/>
            <a:t>Conducting</a:t>
          </a:r>
          <a:r>
            <a:rPr lang="en-AU" sz="2800" b="1" baseline="0"/>
            <a:t> a </a:t>
          </a:r>
          <a:r>
            <a:rPr lang="en-AU" sz="2800" b="1"/>
            <a:t>detailed Risk Assessment </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65859</xdr:colOff>
      <xdr:row>1</xdr:row>
      <xdr:rowOff>344533</xdr:rowOff>
    </xdr:from>
    <xdr:ext cx="8641896" cy="280205"/>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65859" y="554083"/>
          <a:ext cx="864189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t>This</a:t>
          </a:r>
          <a:r>
            <a:rPr lang="en-AU" sz="1200" baseline="0"/>
            <a:t> sheet is useful in communicating with business decision-makers or stakeholders.</a:t>
          </a:r>
          <a:endParaRPr lang="en-AU" sz="1200"/>
        </a:p>
      </xdr:txBody>
    </xdr:sp>
    <xdr:clientData/>
  </xdr:oneCellAnchor>
  <xdr:oneCellAnchor>
    <xdr:from>
      <xdr:col>0</xdr:col>
      <xdr:colOff>83004</xdr:colOff>
      <xdr:row>0</xdr:row>
      <xdr:rowOff>54429</xdr:rowOff>
    </xdr:from>
    <xdr:ext cx="6704143" cy="530658"/>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83004" y="54429"/>
          <a:ext cx="6704143"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2800" b="1"/>
            <a:t>Summary</a:t>
          </a:r>
          <a:r>
            <a:rPr lang="en-AU" sz="2800" b="1" baseline="0"/>
            <a:t> dashboard comparison of options</a:t>
          </a:r>
          <a:endParaRPr lang="en-AU" sz="2800" b="1"/>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noel/AppData/Local/Microsoft/Windows/Temporary%20Internet%20Files/Content.Outlook/2TXT07FM/MSFT-contrail-workload-tool-vE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ail"/>
      <sheetName val="MSG"/>
      <sheetName val="LOB"/>
      <sheetName val="UC"/>
      <sheetName val="COL"/>
      <sheetName val="CRM"/>
      <sheetName val="REF"/>
      <sheetName val="LOB-REF"/>
      <sheetName val="UC-REF"/>
      <sheetName val="CRM-REF"/>
      <sheetName val="COL-REF"/>
      <sheetName val="MSG-REF"/>
      <sheetName val="SRC"/>
      <sheetName val="scoring"/>
      <sheetName val="MSG-SRC"/>
      <sheetName val="COL-SRC"/>
      <sheetName val="CRM-SRC"/>
      <sheetName val="UC-SRC"/>
      <sheetName val="LOB-SRC"/>
      <sheetName val="GEN-CAT"/>
      <sheetName val="GEN-CAT-B3"/>
      <sheetName val="CFG"/>
      <sheetName val="REF-PROTO"/>
      <sheetName val="CONTRAIL-SELECT"/>
      <sheetName val="RUN-CFG"/>
      <sheetName val="BUILD-CFG"/>
      <sheetName val="EDIT-CF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4">
          <cell r="A4" t="str">
            <v>exclude</v>
          </cell>
        </row>
        <row r="5">
          <cell r="A5" t="str">
            <v>poor</v>
          </cell>
        </row>
        <row r="6">
          <cell r="A6" t="str">
            <v>neutral</v>
          </cell>
        </row>
        <row r="7">
          <cell r="A7" t="str">
            <v>good</v>
          </cell>
        </row>
        <row r="8">
          <cell r="A8" t="str">
            <v>better</v>
          </cell>
        </row>
        <row r="9">
          <cell r="A9" t="str">
            <v>best</v>
          </cell>
        </row>
        <row r="10">
          <cell r="A10" t="str">
            <v>xTBDx</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B6:F11" totalsRowShown="0" headerRowDxfId="618" dataDxfId="616" headerRowBorderDxfId="617" tableBorderDxfId="615" headerRowCellStyle="Accent1">
  <tableColumns count="5">
    <tableColumn id="8" xr3:uid="{00000000-0010-0000-0000-000008000000}" name="Score" dataDxfId="614"/>
    <tableColumn id="1" xr3:uid="{00000000-0010-0000-0000-000001000000}" name="Likelihood Rating" dataDxfId="613"/>
    <tableColumn id="2" xr3:uid="{00000000-0010-0000-0000-000002000000}" name="Consideration" dataDxfId="612"/>
    <tableColumn id="3" xr3:uid="{00000000-0010-0000-0000-000003000000}" name="Probability" dataDxfId="611"/>
    <tableColumn id="4" xr3:uid="{00000000-0010-0000-0000-000004000000}" name="Frequency" dataDxfId="610"/>
  </tableColumns>
  <tableStyleInfo name="TableStyleDark11" showFirstColumn="1"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92D050"/>
  </sheetPr>
  <dimension ref="B3:F11"/>
  <sheetViews>
    <sheetView showGridLines="0" showRowColHeaders="0" tabSelected="1" workbookViewId="0">
      <selection activeCell="J7" sqref="J7"/>
    </sheetView>
  </sheetViews>
  <sheetFormatPr defaultColWidth="12.5546875" defaultRowHeight="12.3"/>
  <cols>
    <col min="1" max="1" width="2.1640625" customWidth="1"/>
    <col min="2" max="2" width="11.5546875" customWidth="1"/>
    <col min="3" max="3" width="21.83203125" customWidth="1"/>
    <col min="4" max="4" width="36.27734375" style="12" customWidth="1"/>
    <col min="5" max="5" width="18.27734375" style="12" customWidth="1"/>
    <col min="6" max="6" width="15.44140625" style="12" customWidth="1"/>
  </cols>
  <sheetData>
    <row r="3" spans="2:6" ht="72" customHeight="1"/>
    <row r="4" spans="2:6" ht="12.6" thickBot="1"/>
    <row r="5" spans="2:6" ht="15.9" thickBot="1">
      <c r="B5" s="120"/>
      <c r="C5" s="121"/>
      <c r="D5" s="122" t="s">
        <v>4</v>
      </c>
      <c r="E5" s="122"/>
      <c r="F5" s="123"/>
    </row>
    <row r="6" spans="2:6" ht="15.9" thickBot="1">
      <c r="B6" s="50" t="s">
        <v>2</v>
      </c>
      <c r="C6" s="51" t="s">
        <v>21</v>
      </c>
      <c r="D6" s="51" t="s">
        <v>22</v>
      </c>
      <c r="E6" s="51" t="s">
        <v>23</v>
      </c>
      <c r="F6" s="52" t="s">
        <v>24</v>
      </c>
    </row>
    <row r="7" spans="2:6" ht="52.5" customHeight="1" thickBot="1">
      <c r="B7" s="33">
        <v>5</v>
      </c>
      <c r="C7" s="34" t="s">
        <v>25</v>
      </c>
      <c r="D7" s="35" t="s">
        <v>26</v>
      </c>
      <c r="E7" s="36" t="s">
        <v>27</v>
      </c>
      <c r="F7" s="37" t="s">
        <v>47</v>
      </c>
    </row>
    <row r="8" spans="2:6" ht="33.75" customHeight="1" thickBot="1">
      <c r="B8" s="38">
        <v>4</v>
      </c>
      <c r="C8" s="34" t="s">
        <v>28</v>
      </c>
      <c r="D8" s="35" t="s">
        <v>29</v>
      </c>
      <c r="E8" s="36" t="s">
        <v>30</v>
      </c>
      <c r="F8" s="37" t="s">
        <v>48</v>
      </c>
    </row>
    <row r="9" spans="2:6" ht="33.75" customHeight="1" thickBot="1">
      <c r="B9" s="39">
        <v>3</v>
      </c>
      <c r="C9" s="34" t="s">
        <v>31</v>
      </c>
      <c r="D9" s="35" t="s">
        <v>32</v>
      </c>
      <c r="E9" s="36" t="s">
        <v>33</v>
      </c>
      <c r="F9" s="37" t="s">
        <v>49</v>
      </c>
    </row>
    <row r="10" spans="2:6" ht="31.5" customHeight="1" thickBot="1">
      <c r="B10" s="40">
        <v>2</v>
      </c>
      <c r="C10" s="41" t="s">
        <v>35</v>
      </c>
      <c r="D10" s="42" t="s">
        <v>36</v>
      </c>
      <c r="E10" s="43" t="s">
        <v>37</v>
      </c>
      <c r="F10" s="44" t="s">
        <v>34</v>
      </c>
    </row>
    <row r="11" spans="2:6" ht="33.75" customHeight="1" thickBot="1">
      <c r="B11" s="45">
        <v>1</v>
      </c>
      <c r="C11" s="46" t="s">
        <v>38</v>
      </c>
      <c r="D11" s="47" t="s">
        <v>39</v>
      </c>
      <c r="E11" s="48" t="s">
        <v>40</v>
      </c>
      <c r="F11" s="49" t="s">
        <v>50</v>
      </c>
    </row>
  </sheetData>
  <mergeCells count="2">
    <mergeCell ref="B5:C5"/>
    <mergeCell ref="D5:F5"/>
  </mergeCell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2D050"/>
    <pageSetUpPr fitToPage="1"/>
  </sheetPr>
  <dimension ref="B5:H13"/>
  <sheetViews>
    <sheetView showGridLines="0" showRowColHeaders="0" zoomScale="80" zoomScaleNormal="80" workbookViewId="0">
      <selection activeCell="J20" sqref="J20"/>
    </sheetView>
  </sheetViews>
  <sheetFormatPr defaultColWidth="12.5546875" defaultRowHeight="12.3"/>
  <cols>
    <col min="1" max="1" width="4.1640625" customWidth="1"/>
    <col min="2" max="2" width="12.44140625" customWidth="1"/>
    <col min="3" max="3" width="15.5546875" style="12" customWidth="1"/>
    <col min="4" max="4" width="69" style="12" customWidth="1"/>
    <col min="5" max="5" width="22.5546875" customWidth="1"/>
    <col min="6" max="6" width="34.83203125" customWidth="1"/>
    <col min="7" max="7" width="34.44140625" customWidth="1"/>
    <col min="8" max="8" width="25.71875" customWidth="1"/>
  </cols>
  <sheetData>
    <row r="5" spans="2:8" ht="37.5" customHeight="1"/>
    <row r="6" spans="2:8" ht="12.6" thickBot="1">
      <c r="D6" s="13"/>
    </row>
    <row r="7" spans="2:8" s="14" customFormat="1" ht="15.9" thickBot="1">
      <c r="B7" s="124" t="s">
        <v>2</v>
      </c>
      <c r="C7" s="126" t="s">
        <v>3</v>
      </c>
      <c r="D7" s="128" t="s">
        <v>4</v>
      </c>
      <c r="E7" s="130" t="s">
        <v>5</v>
      </c>
      <c r="F7" s="131"/>
      <c r="G7" s="131"/>
      <c r="H7" s="132"/>
    </row>
    <row r="8" spans="2:8" s="14" customFormat="1" ht="75" customHeight="1" thickTop="1" thickBot="1">
      <c r="B8" s="125"/>
      <c r="C8" s="127"/>
      <c r="D8" s="129"/>
      <c r="E8" s="30" t="s">
        <v>6</v>
      </c>
      <c r="F8" s="30" t="s">
        <v>7</v>
      </c>
      <c r="G8" s="31" t="s">
        <v>57</v>
      </c>
      <c r="H8" s="32" t="s">
        <v>8</v>
      </c>
    </row>
    <row r="9" spans="2:8" s="14" customFormat="1" ht="101.25" customHeight="1">
      <c r="B9" s="15">
        <v>5</v>
      </c>
      <c r="C9" s="16" t="s">
        <v>9</v>
      </c>
      <c r="D9" s="17" t="s">
        <v>51</v>
      </c>
      <c r="E9" s="18" t="s">
        <v>10</v>
      </c>
      <c r="F9" s="18" t="s">
        <v>52</v>
      </c>
      <c r="G9" s="18" t="s">
        <v>53</v>
      </c>
      <c r="H9" s="19" t="s">
        <v>56</v>
      </c>
    </row>
    <row r="10" spans="2:8" s="14" customFormat="1" ht="90" customHeight="1">
      <c r="B10" s="20">
        <v>4</v>
      </c>
      <c r="C10" s="16" t="s">
        <v>11</v>
      </c>
      <c r="D10" s="17" t="s">
        <v>54</v>
      </c>
      <c r="E10" s="18" t="s">
        <v>12</v>
      </c>
      <c r="F10" s="18" t="s">
        <v>55</v>
      </c>
      <c r="G10" s="18" t="s">
        <v>58</v>
      </c>
      <c r="H10" s="19" t="s">
        <v>59</v>
      </c>
    </row>
    <row r="11" spans="2:8" s="14" customFormat="1" ht="97.5" customHeight="1">
      <c r="B11" s="21">
        <v>3</v>
      </c>
      <c r="C11" s="22" t="s">
        <v>13</v>
      </c>
      <c r="D11" s="23" t="s">
        <v>61</v>
      </c>
      <c r="E11" s="24" t="s">
        <v>14</v>
      </c>
      <c r="F11" s="24" t="s">
        <v>64</v>
      </c>
      <c r="G11" s="24" t="s">
        <v>15</v>
      </c>
      <c r="H11" s="19" t="s">
        <v>60</v>
      </c>
    </row>
    <row r="12" spans="2:8" s="14" customFormat="1" ht="82.5" customHeight="1">
      <c r="B12" s="25">
        <v>2</v>
      </c>
      <c r="C12" s="16" t="s">
        <v>16</v>
      </c>
      <c r="D12" s="17" t="s">
        <v>62</v>
      </c>
      <c r="E12" s="18" t="s">
        <v>17</v>
      </c>
      <c r="F12" s="26" t="s">
        <v>63</v>
      </c>
      <c r="G12" s="18" t="s">
        <v>18</v>
      </c>
      <c r="H12" s="19" t="s">
        <v>65</v>
      </c>
    </row>
    <row r="13" spans="2:8" s="14" customFormat="1" ht="54.75" customHeight="1" thickBot="1">
      <c r="B13" s="27">
        <v>1</v>
      </c>
      <c r="C13" s="28" t="s">
        <v>0</v>
      </c>
      <c r="D13" s="29" t="s">
        <v>19</v>
      </c>
      <c r="E13" s="133" t="s">
        <v>20</v>
      </c>
      <c r="F13" s="134"/>
      <c r="G13" s="134"/>
      <c r="H13" s="135"/>
    </row>
  </sheetData>
  <mergeCells count="5">
    <mergeCell ref="B7:B8"/>
    <mergeCell ref="C7:C8"/>
    <mergeCell ref="D7:D8"/>
    <mergeCell ref="E7:H7"/>
    <mergeCell ref="E13:H13"/>
  </mergeCells>
  <pageMargins left="0.7" right="0.7" top="0.75" bottom="0.75" header="0.3" footer="0.3"/>
  <pageSetup paperSize="9" scale="61" orientation="landscape"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C000"/>
    <pageSetUpPr fitToPage="1"/>
  </sheetPr>
  <dimension ref="A3:AK63"/>
  <sheetViews>
    <sheetView showGridLines="0" showRowColHeaders="0" zoomScaleNormal="100" workbookViewId="0">
      <selection activeCell="F47" sqref="F47:G52"/>
    </sheetView>
  </sheetViews>
  <sheetFormatPr defaultRowHeight="12.3"/>
  <cols>
    <col min="1" max="1" width="1.71875" customWidth="1"/>
    <col min="2" max="2" width="14.1640625" customWidth="1"/>
    <col min="3" max="4" width="48.71875" customWidth="1"/>
    <col min="5" max="5" width="102.1640625" customWidth="1"/>
    <col min="6" max="7" width="13" customWidth="1"/>
    <col min="8" max="8" width="10.71875" customWidth="1"/>
    <col min="25" max="25" width="58.5546875" customWidth="1"/>
  </cols>
  <sheetData>
    <row r="3" spans="1:37" ht="18.75" customHeight="1">
      <c r="B3" s="96"/>
      <c r="C3" s="97"/>
      <c r="D3" s="97"/>
      <c r="E3" s="97"/>
      <c r="F3" s="97"/>
      <c r="G3" s="98"/>
      <c r="H3" s="98"/>
      <c r="I3" s="98"/>
    </row>
    <row r="4" spans="1:37" ht="30" customHeight="1">
      <c r="B4" s="96"/>
      <c r="C4" s="97"/>
      <c r="D4" s="97"/>
      <c r="E4" s="97"/>
      <c r="F4" s="97"/>
      <c r="G4" s="98"/>
      <c r="H4" s="98"/>
      <c r="I4" s="98"/>
    </row>
    <row r="5" spans="1:37" ht="18.75" customHeight="1">
      <c r="B5" s="96"/>
      <c r="C5" s="97"/>
      <c r="D5" s="97"/>
      <c r="E5" s="97"/>
      <c r="F5" s="97"/>
      <c r="G5" s="98"/>
      <c r="H5" s="98"/>
      <c r="I5" s="98"/>
    </row>
    <row r="6" spans="1:37" ht="30.9">
      <c r="A6" s="3"/>
      <c r="B6" s="136" t="s">
        <v>88</v>
      </c>
      <c r="C6" s="137"/>
      <c r="D6" s="137"/>
      <c r="E6" s="137"/>
      <c r="F6" s="94"/>
      <c r="G6" s="95"/>
      <c r="H6" s="95"/>
      <c r="AA6" s="77" t="s">
        <v>87</v>
      </c>
    </row>
    <row r="7" spans="1:37" ht="36.9" thickBot="1">
      <c r="A7" s="3"/>
      <c r="B7" s="9"/>
      <c r="C7" s="92" t="s">
        <v>43</v>
      </c>
      <c r="D7" s="92" t="s">
        <v>98</v>
      </c>
      <c r="E7" s="92" t="s">
        <v>1</v>
      </c>
      <c r="F7" s="55" t="s">
        <v>42</v>
      </c>
      <c r="G7" s="55" t="s">
        <v>41</v>
      </c>
      <c r="H7" s="159" t="s">
        <v>83</v>
      </c>
    </row>
    <row r="8" spans="1:37" ht="20.399999999999999">
      <c r="A8" s="3"/>
      <c r="B8" s="138" t="s">
        <v>208</v>
      </c>
      <c r="C8" s="146" t="s">
        <v>179</v>
      </c>
      <c r="D8" s="146" t="s">
        <v>207</v>
      </c>
      <c r="E8" s="146" t="s">
        <v>180</v>
      </c>
      <c r="F8" s="149" t="s">
        <v>31</v>
      </c>
      <c r="G8" s="150" t="s">
        <v>11</v>
      </c>
      <c r="H8" s="158" t="str">
        <f>IF(ISNUMBER(AC8),VLOOKUP(AC8,VLookup!$A$23:$B$47,2,FALSE),"")</f>
        <v>Moderate</v>
      </c>
      <c r="AA8" s="101">
        <f>IF(ISTEXT(F8),VLOOKUP(F8,VLookup!$A$2:$B$6,2,"FALSE"),"")</f>
        <v>3</v>
      </c>
      <c r="AB8" s="101">
        <f>IF(ISTEXT(G8),VLOOKUP(G8,VLookup!$A$13:$B$17,2,"False"),"")</f>
        <v>4</v>
      </c>
      <c r="AC8" s="101">
        <f t="shared" ref="AC8:AC52" si="0">IF(AND(ISTEXT(F8),ISTEXT(G8)),(AA8*AB8),"")</f>
        <v>12</v>
      </c>
      <c r="AD8" s="101"/>
      <c r="AE8" s="101"/>
      <c r="AF8" s="101"/>
      <c r="AG8" s="101"/>
      <c r="AH8" s="101"/>
      <c r="AI8" s="101" t="str">
        <f>IF(ISTEXT(#REF!),VLOOKUP(#REF!,VLookup!$A$2:$B$6,2,"FALSE"),"")</f>
        <v/>
      </c>
      <c r="AJ8" s="101" t="str">
        <f>IF(ISTEXT(#REF!),VLOOKUP(#REF!,VLookup!$A$13:$B$17,2,"False"),"")</f>
        <v/>
      </c>
      <c r="AK8" s="101" t="str">
        <f>IF(AND(ISTEXT(#REF!),ISTEXT(#REF!)),(AI8*AJ8),"")</f>
        <v/>
      </c>
    </row>
    <row r="9" spans="1:37" ht="36.75" customHeight="1">
      <c r="A9" s="3"/>
      <c r="B9" s="139"/>
      <c r="C9" s="148" t="s">
        <v>182</v>
      </c>
      <c r="D9" s="146" t="s">
        <v>181</v>
      </c>
      <c r="E9" s="146" t="s">
        <v>183</v>
      </c>
      <c r="F9" s="149" t="s">
        <v>31</v>
      </c>
      <c r="G9" s="150" t="s">
        <v>9</v>
      </c>
      <c r="H9" s="150" t="str">
        <f>IF(ISNUMBER(AC9),VLOOKUP(AC9,VLookup!$A$23:$B$47,2,FALSE),"")</f>
        <v>Moderate</v>
      </c>
      <c r="AA9" s="101">
        <f>IF(ISTEXT(F9),VLOOKUP(F9,VLookup!$A$2:$B$6,2,"FALSE"),"")</f>
        <v>3</v>
      </c>
      <c r="AB9" s="101">
        <f>IF(ISTEXT(G9),VLOOKUP(G9,VLookup!$A$13:$B$17,2,"False"),"")</f>
        <v>5</v>
      </c>
      <c r="AC9" s="101">
        <f t="shared" si="0"/>
        <v>15</v>
      </c>
      <c r="AD9" s="101"/>
      <c r="AE9" s="101"/>
      <c r="AF9" s="101"/>
      <c r="AG9" s="101"/>
      <c r="AH9" s="101"/>
      <c r="AI9" s="101" t="str">
        <f>IF(ISTEXT(#REF!),VLOOKUP(#REF!,VLookup!$A$2:$B$6,2,"FALSE"),"")</f>
        <v/>
      </c>
      <c r="AJ9" s="101" t="str">
        <f>IF(ISTEXT(#REF!),VLOOKUP(#REF!,VLookup!$A$13:$B$17,2,"False"),"")</f>
        <v/>
      </c>
      <c r="AK9" s="101" t="str">
        <f>IF(AND(ISTEXT(#REF!),ISTEXT(#REF!)),(AI9*AJ9),"")</f>
        <v/>
      </c>
    </row>
    <row r="10" spans="1:37" ht="31.5" customHeight="1">
      <c r="A10" s="3"/>
      <c r="B10" s="139"/>
      <c r="C10" s="148" t="s">
        <v>182</v>
      </c>
      <c r="D10" s="148" t="s">
        <v>184</v>
      </c>
      <c r="E10" s="148" t="s">
        <v>185</v>
      </c>
      <c r="F10" s="149" t="s">
        <v>31</v>
      </c>
      <c r="G10" s="150" t="s">
        <v>13</v>
      </c>
      <c r="H10" s="150" t="str">
        <f>IF(ISNUMBER(AC10),VLOOKUP(AC10,VLookup!$A$23:$B$47,2,FALSE),"")</f>
        <v>Low</v>
      </c>
      <c r="AA10" s="101">
        <f>IF(ISTEXT(F10),VLOOKUP(F10,VLookup!$A$2:$B$6,2,"FALSE"),"")</f>
        <v>3</v>
      </c>
      <c r="AB10" s="101">
        <f>IF(ISTEXT(G10),VLOOKUP(G10,VLookup!$A$13:$B$17,2,"False"),"")</f>
        <v>3</v>
      </c>
      <c r="AC10" s="101">
        <f t="shared" si="0"/>
        <v>9</v>
      </c>
      <c r="AD10" s="101"/>
      <c r="AE10" s="101"/>
      <c r="AF10" s="101"/>
      <c r="AG10" s="101"/>
      <c r="AH10" s="101"/>
      <c r="AI10" s="101" t="str">
        <f>IF(ISTEXT(#REF!),VLOOKUP(#REF!,VLookup!$A$2:$B$6,2,"FALSE"),"")</f>
        <v/>
      </c>
      <c r="AJ10" s="101" t="str">
        <f>IF(ISTEXT(#REF!),VLOOKUP(#REF!,VLookup!$A$13:$B$17,2,"False"),"")</f>
        <v/>
      </c>
      <c r="AK10" s="101" t="str">
        <f>IF(AND(ISTEXT(#REF!),ISTEXT(#REF!)),(AI10*AJ10),"")</f>
        <v/>
      </c>
    </row>
    <row r="11" spans="1:37" ht="31.5" customHeight="1">
      <c r="A11" s="3"/>
      <c r="B11" s="139"/>
      <c r="C11" s="146" t="s">
        <v>187</v>
      </c>
      <c r="D11" s="148" t="s">
        <v>186</v>
      </c>
      <c r="E11" s="148" t="s">
        <v>188</v>
      </c>
      <c r="F11" s="149" t="s">
        <v>35</v>
      </c>
      <c r="G11" s="150" t="s">
        <v>11</v>
      </c>
      <c r="H11" s="150" t="str">
        <f>IF(ISNUMBER(AC11),VLOOKUP(AC11,VLookup!$A$23:$B$47,2,FALSE),"")</f>
        <v>Low</v>
      </c>
      <c r="AA11" s="101">
        <f>IF(ISTEXT(F11),VLOOKUP(F11,VLookup!$A$2:$B$6,2,"FALSE"),"")</f>
        <v>2</v>
      </c>
      <c r="AB11" s="101">
        <f>IF(ISTEXT(G11),VLOOKUP(G11,VLookup!$A$13:$B$17,2,"False"),"")</f>
        <v>4</v>
      </c>
      <c r="AC11" s="101">
        <f t="shared" si="0"/>
        <v>8</v>
      </c>
      <c r="AD11" s="101"/>
      <c r="AE11" s="101"/>
      <c r="AF11" s="101"/>
      <c r="AG11" s="101"/>
      <c r="AH11" s="101"/>
      <c r="AI11" s="101" t="str">
        <f>IF(ISTEXT(#REF!),VLOOKUP(#REF!,VLookup!$A$2:$B$6,2,"FALSE"),"")</f>
        <v/>
      </c>
      <c r="AJ11" s="101" t="str">
        <f>IF(ISTEXT(#REF!),VLOOKUP(#REF!,VLookup!$A$13:$B$17,2,"False"),"")</f>
        <v/>
      </c>
      <c r="AK11" s="101" t="str">
        <f>IF(AND(ISTEXT(#REF!),ISTEXT(#REF!)),(AI11*AJ11),"")</f>
        <v/>
      </c>
    </row>
    <row r="12" spans="1:37" ht="20.399999999999999">
      <c r="A12" s="3"/>
      <c r="B12" s="139"/>
      <c r="C12" s="146" t="s">
        <v>190</v>
      </c>
      <c r="D12" s="146" t="s">
        <v>189</v>
      </c>
      <c r="E12" s="146" t="s">
        <v>191</v>
      </c>
      <c r="F12" s="149" t="s">
        <v>31</v>
      </c>
      <c r="G12" s="150" t="s">
        <v>16</v>
      </c>
      <c r="H12" s="150" t="str">
        <f>IF(ISNUMBER(AC12),VLOOKUP(AC12,VLookup!$A$23:$B$47,2,FALSE),"")</f>
        <v>Low</v>
      </c>
      <c r="AA12" s="101">
        <f>IF(ISTEXT(F12),VLOOKUP(F12,VLookup!$A$2:$B$6,2,"FALSE"),"")</f>
        <v>3</v>
      </c>
      <c r="AB12" s="101">
        <f>IF(ISTEXT(G12),VLOOKUP(G12,VLookup!$A$13:$B$17,2,"False"),"")</f>
        <v>2</v>
      </c>
      <c r="AC12" s="101">
        <f t="shared" si="0"/>
        <v>6</v>
      </c>
      <c r="AD12" s="101"/>
      <c r="AE12" s="101"/>
      <c r="AF12" s="101"/>
      <c r="AG12" s="101"/>
      <c r="AH12" s="101"/>
      <c r="AI12" s="101" t="str">
        <f>IF(ISTEXT(#REF!),VLOOKUP(#REF!,VLookup!$A$2:$B$6,2,"FALSE"),"")</f>
        <v/>
      </c>
      <c r="AJ12" s="101" t="str">
        <f>IF(ISTEXT(#REF!),VLOOKUP(#REF!,VLookup!$A$13:$B$17,2,"False"),"")</f>
        <v/>
      </c>
      <c r="AK12" s="101" t="str">
        <f>IF(AND(ISTEXT(#REF!),ISTEXT(#REF!)),(AI12*AJ12),"")</f>
        <v/>
      </c>
    </row>
    <row r="13" spans="1:37" ht="20.399999999999999">
      <c r="A13" s="3"/>
      <c r="B13" s="139"/>
      <c r="C13" s="148" t="s">
        <v>193</v>
      </c>
      <c r="D13" s="146" t="s">
        <v>192</v>
      </c>
      <c r="E13" s="146" t="s">
        <v>194</v>
      </c>
      <c r="F13" s="149" t="s">
        <v>31</v>
      </c>
      <c r="G13" s="150" t="s">
        <v>9</v>
      </c>
      <c r="H13" s="150" t="str">
        <f>IF(ISNUMBER(AC13),VLOOKUP(AC13,VLookup!$A$23:$B$47,2,FALSE),"")</f>
        <v>Moderate</v>
      </c>
      <c r="AA13" s="101">
        <f>IF(ISTEXT(F13),VLOOKUP(F13,VLookup!$A$2:$B$6,2,"FALSE"),"")</f>
        <v>3</v>
      </c>
      <c r="AB13" s="101">
        <f>IF(ISTEXT(G13),VLOOKUP(G13,VLookup!$A$13:$B$17,2,"False"),"")</f>
        <v>5</v>
      </c>
      <c r="AC13" s="101">
        <f t="shared" si="0"/>
        <v>15</v>
      </c>
      <c r="AD13" s="101"/>
      <c r="AE13" s="101"/>
      <c r="AF13" s="101"/>
      <c r="AG13" s="101"/>
      <c r="AH13" s="101"/>
      <c r="AI13" s="101" t="str">
        <f>IF(ISTEXT(#REF!),VLOOKUP(#REF!,VLookup!$A$2:$B$6,2,"FALSE"),"")</f>
        <v/>
      </c>
      <c r="AJ13" s="101" t="str">
        <f>IF(ISTEXT(#REF!),VLOOKUP(#REF!,VLookup!$A$13:$B$17,2,"False"),"")</f>
        <v/>
      </c>
      <c r="AK13" s="101" t="str">
        <f>IF(AND(ISTEXT(#REF!),ISTEXT(#REF!)),(AI13*AJ13),"")</f>
        <v/>
      </c>
    </row>
    <row r="14" spans="1:37" ht="20.399999999999999">
      <c r="A14" s="3"/>
      <c r="B14" s="139"/>
      <c r="C14" s="146" t="s">
        <v>196</v>
      </c>
      <c r="D14" s="146" t="s">
        <v>195</v>
      </c>
      <c r="E14" s="146" t="s">
        <v>197</v>
      </c>
      <c r="F14" s="149" t="s">
        <v>31</v>
      </c>
      <c r="G14" s="150" t="s">
        <v>13</v>
      </c>
      <c r="H14" s="150" t="str">
        <f>IF(ISNUMBER(AC14),VLOOKUP(AC14,VLookup!$A$23:$B$47,2,FALSE),"")</f>
        <v>Low</v>
      </c>
      <c r="AA14" s="101">
        <f>IF(ISTEXT(F14),VLOOKUP(F14,VLookup!$A$2:$B$6,2,"FALSE"),"")</f>
        <v>3</v>
      </c>
      <c r="AB14" s="101">
        <f>IF(ISTEXT(G14),VLOOKUP(G14,VLookup!$A$13:$B$17,2,"False"),"")</f>
        <v>3</v>
      </c>
      <c r="AC14" s="101">
        <f t="shared" si="0"/>
        <v>9</v>
      </c>
      <c r="AD14" s="101"/>
      <c r="AE14" s="101"/>
      <c r="AF14" s="101"/>
      <c r="AG14" s="101"/>
      <c r="AH14" s="101"/>
      <c r="AI14" s="101" t="str">
        <f>IF(ISTEXT(#REF!),VLOOKUP(#REF!,VLookup!$A$2:$B$6,2,"FALSE"),"")</f>
        <v/>
      </c>
      <c r="AJ14" s="101" t="str">
        <f>IF(ISTEXT(#REF!),VLOOKUP(#REF!,VLookup!$A$13:$B$17,2,"False"),"")</f>
        <v/>
      </c>
      <c r="AK14" s="101" t="str">
        <f>IF(AND(ISTEXT(#REF!),ISTEXT(#REF!)),(AI14*AJ14),"")</f>
        <v/>
      </c>
    </row>
    <row r="15" spans="1:37" ht="12.9">
      <c r="A15" s="3"/>
      <c r="B15" s="139"/>
      <c r="C15" s="148" t="s">
        <v>199</v>
      </c>
      <c r="D15" s="148" t="s">
        <v>198</v>
      </c>
      <c r="E15" s="146" t="s">
        <v>200</v>
      </c>
      <c r="F15" s="149" t="s">
        <v>31</v>
      </c>
      <c r="G15" s="150" t="s">
        <v>11</v>
      </c>
      <c r="H15" s="150" t="str">
        <f>IF(ISNUMBER(AC15),VLOOKUP(AC15,VLookup!$A$23:$B$47,2,FALSE),"")</f>
        <v>Moderate</v>
      </c>
      <c r="AA15" s="101">
        <f>IF(ISTEXT(F15),VLOOKUP(F15,VLookup!$A$2:$B$6,2,"FALSE"),"")</f>
        <v>3</v>
      </c>
      <c r="AB15" s="101">
        <f>IF(ISTEXT(G15),VLOOKUP(G15,VLookup!$A$13:$B$17,2,"False"),"")</f>
        <v>4</v>
      </c>
      <c r="AC15" s="101">
        <f t="shared" si="0"/>
        <v>12</v>
      </c>
      <c r="AD15" s="101"/>
      <c r="AE15" s="101"/>
      <c r="AF15" s="101"/>
      <c r="AG15" s="101"/>
      <c r="AH15" s="101"/>
      <c r="AI15" s="101" t="str">
        <f>IF(ISTEXT(#REF!),VLOOKUP(#REF!,VLookup!$A$2:$B$6,2,"FALSE"),"")</f>
        <v/>
      </c>
      <c r="AJ15" s="101" t="str">
        <f>IF(ISTEXT(#REF!),VLOOKUP(#REF!,VLookup!$A$13:$B$17,2,"False"),"")</f>
        <v/>
      </c>
      <c r="AK15" s="101" t="str">
        <f>IF(AND(ISTEXT(#REF!),ISTEXT(#REF!)),(AI15*AJ15),"")</f>
        <v/>
      </c>
    </row>
    <row r="16" spans="1:37" ht="12.9">
      <c r="A16" s="3"/>
      <c r="B16" s="139"/>
      <c r="C16" s="146" t="s">
        <v>202</v>
      </c>
      <c r="D16" s="146" t="s">
        <v>201</v>
      </c>
      <c r="E16" s="146" t="s">
        <v>203</v>
      </c>
      <c r="F16" s="149" t="s">
        <v>31</v>
      </c>
      <c r="G16" s="150" t="s">
        <v>11</v>
      </c>
      <c r="H16" s="150" t="str">
        <f>IF(ISNUMBER(AC16),VLOOKUP(AC16,VLookup!$A$23:$B$47,2,FALSE),"")</f>
        <v>Moderate</v>
      </c>
      <c r="AA16" s="101">
        <f>IF(ISTEXT(F16),VLOOKUP(F16,VLookup!$A$2:$B$6,2,"FALSE"),"")</f>
        <v>3</v>
      </c>
      <c r="AB16" s="101">
        <f>IF(ISTEXT(G16),VLOOKUP(G16,VLookup!$A$13:$B$17,2,"False"),"")</f>
        <v>4</v>
      </c>
      <c r="AC16" s="101">
        <f t="shared" si="0"/>
        <v>12</v>
      </c>
      <c r="AD16" s="101"/>
      <c r="AE16" s="101"/>
      <c r="AF16" s="101"/>
      <c r="AG16" s="101"/>
      <c r="AH16" s="101"/>
      <c r="AI16" s="101" t="str">
        <f>IF(ISTEXT(#REF!),VLOOKUP(#REF!,VLookup!$A$2:$B$6,2,"FALSE"),"")</f>
        <v/>
      </c>
      <c r="AJ16" s="101" t="str">
        <f>IF(ISTEXT(#REF!),VLOOKUP(#REF!,VLookup!$A$13:$B$17,2,"False"),"")</f>
        <v/>
      </c>
      <c r="AK16" s="101" t="str">
        <f>IF(AND(ISTEXT(#REF!),ISTEXT(#REF!)),(AI16*AJ16),"")</f>
        <v/>
      </c>
    </row>
    <row r="17" spans="1:37" ht="20.7" thickBot="1">
      <c r="A17" s="3"/>
      <c r="B17" s="140"/>
      <c r="C17" s="148" t="s">
        <v>205</v>
      </c>
      <c r="D17" s="146" t="s">
        <v>204</v>
      </c>
      <c r="E17" s="146" t="s">
        <v>206</v>
      </c>
      <c r="F17" s="149" t="s">
        <v>35</v>
      </c>
      <c r="G17" s="150" t="s">
        <v>11</v>
      </c>
      <c r="H17" s="150" t="str">
        <f>IF(ISNUMBER(AC17),VLOOKUP(AC17,VLookup!$A$23:$B$47,2,FALSE),"")</f>
        <v>Low</v>
      </c>
      <c r="AA17" s="101">
        <f>IF(ISTEXT(F17),VLOOKUP(F17,VLookup!$A$2:$B$6,2,"FALSE"),"")</f>
        <v>2</v>
      </c>
      <c r="AB17" s="101">
        <f>IF(ISTEXT(G17),VLOOKUP(G17,VLookup!$A$13:$B$17,2,"False"),"")</f>
        <v>4</v>
      </c>
      <c r="AC17" s="101">
        <f t="shared" si="0"/>
        <v>8</v>
      </c>
      <c r="AD17" s="101"/>
      <c r="AE17" s="101"/>
      <c r="AF17" s="101"/>
      <c r="AG17" s="101"/>
      <c r="AH17" s="101"/>
      <c r="AI17" s="101" t="str">
        <f>IF(ISTEXT(#REF!),VLOOKUP(#REF!,VLookup!$A$2:$B$6,2,"FALSE"),"")</f>
        <v/>
      </c>
      <c r="AJ17" s="101" t="str">
        <f>IF(ISTEXT(#REF!),VLOOKUP(#REF!,VLookup!$A$13:$B$17,2,"False"),"")</f>
        <v/>
      </c>
      <c r="AK17" s="101" t="str">
        <f>IF(AND(ISTEXT(#REF!),ISTEXT(#REF!)),(AI17*AJ17),"")</f>
        <v/>
      </c>
    </row>
    <row r="18" spans="1:37" ht="15.9" thickBot="1">
      <c r="A18" s="3"/>
      <c r="B18" s="56"/>
      <c r="C18" s="113"/>
      <c r="D18" s="113"/>
      <c r="E18" s="114"/>
      <c r="F18" s="115"/>
      <c r="G18" s="76"/>
      <c r="H18" s="76"/>
      <c r="AA18" s="101" t="str">
        <f>IF(ISTEXT(F18),VLOOKUP(F18,VLookup!$A$2:$B$6,2,"FALSE"),"")</f>
        <v/>
      </c>
      <c r="AB18" s="101" t="str">
        <f>IF(ISTEXT(G18),VLOOKUP(G18,VLookup!$A$13:$B$17,2,"False"),"")</f>
        <v/>
      </c>
      <c r="AC18" s="101" t="str">
        <f t="shared" si="0"/>
        <v/>
      </c>
      <c r="AD18" s="101"/>
      <c r="AE18" s="101"/>
      <c r="AF18" s="101"/>
      <c r="AG18" s="101"/>
      <c r="AH18" s="101"/>
      <c r="AI18" s="101" t="str">
        <f>IF(ISTEXT(#REF!),VLOOKUP(#REF!,VLookup!$A$2:$B$6,2,"FALSE"),"")</f>
        <v/>
      </c>
      <c r="AJ18" s="101" t="str">
        <f>IF(ISTEXT(#REF!),VLOOKUP(#REF!,VLookup!$A$13:$B$17,2,"False"),"")</f>
        <v/>
      </c>
      <c r="AK18" s="101" t="str">
        <f>IF(AND(ISTEXT(#REF!),ISTEXT(#REF!)),(AI18*AJ18),"")</f>
        <v/>
      </c>
    </row>
    <row r="19" spans="1:37" ht="20.399999999999999">
      <c r="A19" s="3"/>
      <c r="B19" s="151" t="s">
        <v>99</v>
      </c>
      <c r="C19" s="146" t="s">
        <v>101</v>
      </c>
      <c r="D19" s="146" t="s">
        <v>100</v>
      </c>
      <c r="E19" s="146" t="s">
        <v>112</v>
      </c>
      <c r="F19" s="149" t="s">
        <v>31</v>
      </c>
      <c r="G19" s="150" t="s">
        <v>13</v>
      </c>
      <c r="H19" s="158" t="str">
        <f>IF(ISNUMBER(AC19),VLOOKUP(AC19,VLookup!$A$23:$B$47,2,FALSE),"")</f>
        <v>Low</v>
      </c>
      <c r="AA19" s="101">
        <f>IF(ISTEXT(F19),VLOOKUP(F19,VLookup!$A$2:$B$6,2,"FALSE"),"")</f>
        <v>3</v>
      </c>
      <c r="AB19" s="101">
        <f>IF(ISTEXT(G19),VLOOKUP(G19,VLookup!$A$13:$B$17,2,"False"),"")</f>
        <v>3</v>
      </c>
      <c r="AC19" s="101">
        <f t="shared" si="0"/>
        <v>9</v>
      </c>
      <c r="AD19" s="101"/>
      <c r="AE19" s="101"/>
      <c r="AF19" s="101"/>
      <c r="AG19" s="101"/>
      <c r="AH19" s="101"/>
      <c r="AI19" s="101" t="str">
        <f>IF(ISTEXT(#REF!),VLOOKUP(#REF!,VLookup!$A$2:$B$6,2,"FALSE"),"")</f>
        <v/>
      </c>
      <c r="AJ19" s="101" t="str">
        <f>IF(ISTEXT(#REF!),VLOOKUP(#REF!,VLookup!$A$13:$B$17,2,"False"),"")</f>
        <v/>
      </c>
      <c r="AK19" s="101" t="str">
        <f>IF(AND(ISTEXT(#REF!),ISTEXT(#REF!)),(AI19*AJ19),"")</f>
        <v/>
      </c>
    </row>
    <row r="20" spans="1:37" ht="20.399999999999999">
      <c r="A20" s="3"/>
      <c r="B20" s="152"/>
      <c r="C20" s="148" t="s">
        <v>102</v>
      </c>
      <c r="D20" s="146" t="s">
        <v>103</v>
      </c>
      <c r="E20" s="146" t="s">
        <v>113</v>
      </c>
      <c r="F20" s="149" t="s">
        <v>31</v>
      </c>
      <c r="G20" s="150" t="s">
        <v>13</v>
      </c>
      <c r="H20" s="158" t="str">
        <f>IF(ISNUMBER(AC20),VLOOKUP(AC20,VLookup!$A$23:$B$47,2,FALSE),"")</f>
        <v>Low</v>
      </c>
      <c r="AA20" s="101">
        <f>IF(ISTEXT(F20),VLOOKUP(F20,VLookup!$A$2:$B$6,2,"FALSE"),"")</f>
        <v>3</v>
      </c>
      <c r="AB20" s="101">
        <f>IF(ISTEXT(G20),VLOOKUP(G20,VLookup!$A$13:$B$17,2,"False"),"")</f>
        <v>3</v>
      </c>
      <c r="AC20" s="101">
        <f t="shared" si="0"/>
        <v>9</v>
      </c>
      <c r="AD20" s="101"/>
      <c r="AE20" s="101"/>
      <c r="AF20" s="101"/>
      <c r="AG20" s="101"/>
      <c r="AH20" s="101"/>
      <c r="AI20" s="101" t="str">
        <f>IF(ISTEXT(#REF!),VLOOKUP(#REF!,VLookup!$A$2:$B$6,2,"FALSE"),"")</f>
        <v/>
      </c>
      <c r="AJ20" s="101" t="str">
        <f>IF(ISTEXT(#REF!),VLOOKUP(#REF!,VLookup!$A$13:$B$17,2,"False"),"")</f>
        <v/>
      </c>
      <c r="AK20" s="101" t="str">
        <f>IF(AND(ISTEXT(#REF!),ISTEXT(#REF!)),(AI20*AJ20),"")</f>
        <v/>
      </c>
    </row>
    <row r="21" spans="1:37" ht="12.9">
      <c r="A21" s="3"/>
      <c r="B21" s="152"/>
      <c r="C21" s="148" t="s">
        <v>107</v>
      </c>
      <c r="D21" s="148" t="s">
        <v>104</v>
      </c>
      <c r="E21" s="148" t="s">
        <v>114</v>
      </c>
      <c r="F21" s="149" t="s">
        <v>28</v>
      </c>
      <c r="G21" s="150" t="s">
        <v>11</v>
      </c>
      <c r="H21" s="158" t="str">
        <f>IF(ISNUMBER(AC21),VLOOKUP(AC21,VLookup!$A$23:$B$47,2,FALSE),"")</f>
        <v>High</v>
      </c>
      <c r="AA21" s="101">
        <f>IF(ISTEXT(F21),VLOOKUP(F21,VLookup!$A$2:$B$6,2,"FALSE"),"")</f>
        <v>4</v>
      </c>
      <c r="AB21" s="101">
        <f>IF(ISTEXT(G21),VLOOKUP(G21,VLookup!$A$13:$B$17,2,"False"),"")</f>
        <v>4</v>
      </c>
      <c r="AC21" s="101">
        <f t="shared" si="0"/>
        <v>16</v>
      </c>
      <c r="AD21" s="101"/>
      <c r="AE21" s="101"/>
      <c r="AF21" s="101"/>
      <c r="AG21" s="101"/>
      <c r="AH21" s="101"/>
      <c r="AI21" s="101" t="str">
        <f>IF(ISTEXT(#REF!),VLOOKUP(#REF!,VLookup!$A$2:$B$6,2,"FALSE"),"")</f>
        <v/>
      </c>
      <c r="AJ21" s="101" t="str">
        <f>IF(ISTEXT(#REF!),VLOOKUP(#REF!,VLookup!$A$13:$B$17,2,"False"),"")</f>
        <v/>
      </c>
      <c r="AK21" s="101" t="str">
        <f>IF(AND(ISTEXT(#REF!),ISTEXT(#REF!)),(AI21*AJ21),"")</f>
        <v/>
      </c>
    </row>
    <row r="22" spans="1:37" ht="21">
      <c r="A22" s="3"/>
      <c r="B22" s="152"/>
      <c r="C22" s="146" t="s">
        <v>108</v>
      </c>
      <c r="D22" s="148" t="s">
        <v>105</v>
      </c>
      <c r="E22" s="148" t="s">
        <v>115</v>
      </c>
      <c r="F22" s="149" t="s">
        <v>28</v>
      </c>
      <c r="G22" s="150" t="s">
        <v>11</v>
      </c>
      <c r="H22" s="158" t="str">
        <f>IF(ISNUMBER(AC22),VLOOKUP(AC22,VLookup!$A$23:$B$47,2,FALSE),"")</f>
        <v>High</v>
      </c>
      <c r="AA22" s="101">
        <f>IF(ISTEXT(F22),VLOOKUP(F22,VLookup!$A$2:$B$6,2,"FALSE"),"")</f>
        <v>4</v>
      </c>
      <c r="AB22" s="101">
        <f>IF(ISTEXT(G22),VLOOKUP(G22,VLookup!$A$13:$B$17,2,"False"),"")</f>
        <v>4</v>
      </c>
      <c r="AC22" s="101">
        <f t="shared" si="0"/>
        <v>16</v>
      </c>
      <c r="AD22" s="101"/>
      <c r="AE22" s="101"/>
      <c r="AF22" s="101"/>
      <c r="AG22" s="101"/>
      <c r="AH22" s="101"/>
      <c r="AI22" s="101" t="str">
        <f>IF(ISTEXT(#REF!),VLOOKUP(#REF!,VLookup!$A$2:$B$6,2,"FALSE"),"")</f>
        <v/>
      </c>
      <c r="AJ22" s="101" t="str">
        <f>IF(ISTEXT(#REF!),VLOOKUP(#REF!,VLookup!$A$13:$B$17,2,"False"),"")</f>
        <v/>
      </c>
      <c r="AK22" s="101" t="str">
        <f>IF(AND(ISTEXT(#REF!),ISTEXT(#REF!)),(AI22*AJ22),"")</f>
        <v/>
      </c>
    </row>
    <row r="23" spans="1:37" ht="12.9">
      <c r="A23" s="3"/>
      <c r="B23" s="152"/>
      <c r="C23" s="146" t="s">
        <v>109</v>
      </c>
      <c r="D23" s="146" t="s">
        <v>106</v>
      </c>
      <c r="E23" s="146" t="s">
        <v>116</v>
      </c>
      <c r="F23" s="149" t="s">
        <v>31</v>
      </c>
      <c r="G23" s="150" t="s">
        <v>13</v>
      </c>
      <c r="H23" s="158" t="str">
        <f>IF(ISNUMBER(AC23),VLOOKUP(AC23,VLookup!$A$23:$B$47,2,FALSE),"")</f>
        <v>Low</v>
      </c>
      <c r="AA23" s="101">
        <f>IF(ISTEXT(F23),VLOOKUP(F23,VLookup!$A$2:$B$6,2,"FALSE"),"")</f>
        <v>3</v>
      </c>
      <c r="AB23" s="101">
        <f>IF(ISTEXT(G23),VLOOKUP(G23,VLookup!$A$13:$B$17,2,"False"),"")</f>
        <v>3</v>
      </c>
      <c r="AC23" s="101">
        <f t="shared" si="0"/>
        <v>9</v>
      </c>
      <c r="AD23" s="101"/>
      <c r="AE23" s="101"/>
      <c r="AF23" s="101"/>
      <c r="AG23" s="101"/>
      <c r="AH23" s="101"/>
      <c r="AI23" s="101" t="str">
        <f>IF(ISTEXT(#REF!),VLOOKUP(#REF!,VLookup!$A$2:$B$6,2,"FALSE"),"")</f>
        <v/>
      </c>
      <c r="AJ23" s="101" t="str">
        <f>IF(ISTEXT(#REF!),VLOOKUP(#REF!,VLookup!$A$13:$B$17,2,"False"),"")</f>
        <v/>
      </c>
      <c r="AK23" s="101" t="str">
        <f>IF(AND(ISTEXT(#REF!),ISTEXT(#REF!)),(AI23*AJ23),"")</f>
        <v/>
      </c>
    </row>
    <row r="24" spans="1:37" ht="20.399999999999999">
      <c r="A24" s="3"/>
      <c r="B24" s="152"/>
      <c r="C24" s="148" t="s">
        <v>110</v>
      </c>
      <c r="D24" s="146" t="s">
        <v>111</v>
      </c>
      <c r="E24" s="146" t="s">
        <v>117</v>
      </c>
      <c r="F24" s="149" t="s">
        <v>31</v>
      </c>
      <c r="G24" s="150" t="s">
        <v>13</v>
      </c>
      <c r="H24" s="158" t="str">
        <f>IF(ISNUMBER(AC24),VLOOKUP(AC24,VLookup!$A$23:$B$47,2,FALSE),"")</f>
        <v>Low</v>
      </c>
      <c r="AA24" s="101">
        <f>IF(ISTEXT(F24),VLOOKUP(F24,VLookup!$A$2:$B$6,2,"FALSE"),"")</f>
        <v>3</v>
      </c>
      <c r="AB24" s="101">
        <f>IF(ISTEXT(G24),VLOOKUP(G24,VLookup!$A$13:$B$17,2,"False"),"")</f>
        <v>3</v>
      </c>
      <c r="AC24" s="101">
        <f t="shared" si="0"/>
        <v>9</v>
      </c>
      <c r="AD24" s="101"/>
      <c r="AE24" s="101"/>
      <c r="AF24" s="101"/>
      <c r="AG24" s="101"/>
      <c r="AH24" s="101"/>
      <c r="AI24" s="101" t="str">
        <f>IF(ISTEXT(#REF!),VLOOKUP(#REF!,VLookup!$A$2:$B$6,2,"FALSE"),"")</f>
        <v/>
      </c>
      <c r="AJ24" s="101" t="str">
        <f>IF(ISTEXT(#REF!),VLOOKUP(#REF!,VLookup!$A$13:$B$17,2,"False"),"")</f>
        <v/>
      </c>
      <c r="AK24" s="101" t="str">
        <f>IF(AND(ISTEXT(#REF!),ISTEXT(#REF!)),(AI24*AJ24),"")</f>
        <v/>
      </c>
    </row>
    <row r="25" spans="1:37" ht="20.399999999999999">
      <c r="A25" s="3"/>
      <c r="B25" s="152"/>
      <c r="C25" s="146" t="s">
        <v>120</v>
      </c>
      <c r="D25" s="146" t="s">
        <v>118</v>
      </c>
      <c r="E25" s="146" t="s">
        <v>122</v>
      </c>
      <c r="F25" s="149" t="s">
        <v>31</v>
      </c>
      <c r="G25" s="150" t="s">
        <v>9</v>
      </c>
      <c r="H25" s="158" t="str">
        <f>IF(ISNUMBER(AC25),VLOOKUP(AC25,VLookup!$A$23:$B$47,2,FALSE),"")</f>
        <v>Moderate</v>
      </c>
      <c r="AA25" s="101">
        <f>IF(ISTEXT(F25),VLOOKUP(F25,VLookup!$A$2:$B$6,2,"FALSE"),"")</f>
        <v>3</v>
      </c>
      <c r="AB25" s="101">
        <f>IF(ISTEXT(G25),VLOOKUP(G25,VLookup!$A$13:$B$17,2,"False"),"")</f>
        <v>5</v>
      </c>
      <c r="AC25" s="101">
        <f t="shared" si="0"/>
        <v>15</v>
      </c>
      <c r="AD25" s="101"/>
      <c r="AE25" s="101"/>
      <c r="AF25" s="101"/>
      <c r="AG25" s="101"/>
      <c r="AH25" s="101"/>
      <c r="AI25" s="101" t="str">
        <f>IF(ISTEXT(#REF!),VLOOKUP(#REF!,VLookup!$A$2:$B$6,2,"FALSE"),"")</f>
        <v/>
      </c>
      <c r="AJ25" s="101" t="str">
        <f>IF(ISTEXT(#REF!),VLOOKUP(#REF!,VLookup!$A$13:$B$17,2,"False"),"")</f>
        <v/>
      </c>
      <c r="AK25" s="101" t="str">
        <f>IF(AND(ISTEXT(#REF!),ISTEXT(#REF!)),(AI25*AJ25),"")</f>
        <v/>
      </c>
    </row>
    <row r="26" spans="1:37" ht="12.9">
      <c r="A26" s="3"/>
      <c r="B26" s="152"/>
      <c r="C26" s="148" t="s">
        <v>121</v>
      </c>
      <c r="D26" s="148" t="s">
        <v>119</v>
      </c>
      <c r="E26" s="146" t="s">
        <v>123</v>
      </c>
      <c r="F26" s="149" t="s">
        <v>31</v>
      </c>
      <c r="G26" s="150" t="s">
        <v>11</v>
      </c>
      <c r="H26" s="150" t="str">
        <f>IF(ISNUMBER(AC26),VLOOKUP(AC26,VLookup!$A$23:$B$47,2,FALSE),"")</f>
        <v>Moderate</v>
      </c>
      <c r="AA26" s="101">
        <f>IF(ISTEXT(F26),VLOOKUP(F26,VLookup!$A$2:$B$6,2,"FALSE"),"")</f>
        <v>3</v>
      </c>
      <c r="AB26" s="101">
        <f>IF(ISTEXT(G26),VLOOKUP(G26,VLookup!$A$13:$B$17,2,"False"),"")</f>
        <v>4</v>
      </c>
      <c r="AC26" s="101">
        <f t="shared" si="0"/>
        <v>12</v>
      </c>
      <c r="AD26" s="101"/>
      <c r="AE26" s="101"/>
      <c r="AF26" s="101"/>
      <c r="AG26" s="101"/>
      <c r="AH26" s="101"/>
      <c r="AI26" s="101" t="str">
        <f>IF(ISTEXT(#REF!),VLOOKUP(#REF!,VLookup!$A$2:$B$6,2,"FALSE"),"")</f>
        <v/>
      </c>
      <c r="AJ26" s="101" t="str">
        <f>IF(ISTEXT(#REF!),VLOOKUP(#REF!,VLookup!$A$13:$B$17,2,"False"),"")</f>
        <v/>
      </c>
      <c r="AK26" s="101" t="str">
        <f>IF(AND(ISTEXT(#REF!),ISTEXT(#REF!)),(AI26*AJ26),"")</f>
        <v/>
      </c>
    </row>
    <row r="27" spans="1:37" ht="15.9" thickBot="1">
      <c r="A27" s="3"/>
      <c r="B27" s="56"/>
      <c r="C27" s="113"/>
      <c r="D27" s="113"/>
      <c r="E27" s="114"/>
      <c r="F27" s="156"/>
      <c r="G27" s="157"/>
      <c r="H27" s="157" t="str">
        <f>IF(ISNUMBER(AC27),VLOOKUP(AC27,VLookup!$A$23:$B$47,2,FALSE),"")</f>
        <v/>
      </c>
      <c r="AA27" s="101" t="str">
        <f>IF(ISTEXT(F27),VLOOKUP(F27,VLookup!$A$2:$B$6,2,"FALSE"),"")</f>
        <v/>
      </c>
      <c r="AB27" s="101" t="str">
        <f>IF(ISTEXT(G27),VLOOKUP(G27,VLookup!$A$13:$B$17,2,"False"),"")</f>
        <v/>
      </c>
      <c r="AC27" s="101" t="str">
        <f t="shared" si="0"/>
        <v/>
      </c>
      <c r="AD27" s="101"/>
      <c r="AE27" s="101"/>
      <c r="AF27" s="101"/>
      <c r="AG27" s="101"/>
      <c r="AH27" s="101"/>
      <c r="AI27" s="101" t="str">
        <f>IF(ISTEXT(#REF!),VLOOKUP(#REF!,VLookup!$A$2:$B$6,2,"FALSE"),"")</f>
        <v/>
      </c>
      <c r="AJ27" s="101" t="str">
        <f>IF(ISTEXT(#REF!),VLOOKUP(#REF!,VLookup!$A$13:$B$17,2,"False"),"")</f>
        <v/>
      </c>
      <c r="AK27" s="101" t="str">
        <f>IF(AND(ISTEXT(#REF!),ISTEXT(#REF!)),(AI27*AJ27),"")</f>
        <v/>
      </c>
    </row>
    <row r="28" spans="1:37" ht="26.4" customHeight="1">
      <c r="A28" s="3"/>
      <c r="B28" s="153" t="s">
        <v>124</v>
      </c>
      <c r="C28" s="146" t="s">
        <v>126</v>
      </c>
      <c r="D28" s="146" t="s">
        <v>125</v>
      </c>
      <c r="E28" s="146" t="s">
        <v>127</v>
      </c>
      <c r="F28" s="149" t="s">
        <v>28</v>
      </c>
      <c r="G28" s="150" t="s">
        <v>11</v>
      </c>
      <c r="H28" s="150" t="str">
        <f>IF(ISNUMBER(AC28),VLOOKUP(AC28,VLookup!$A$23:$B$47,2,FALSE),"")</f>
        <v>High</v>
      </c>
      <c r="AA28" s="101">
        <f>IF(ISTEXT(F28),VLOOKUP(F28,VLookup!$A$2:$B$6,2,"FALSE"),"")</f>
        <v>4</v>
      </c>
      <c r="AB28" s="101">
        <f>IF(ISTEXT(G28),VLOOKUP(G28,VLookup!$A$13:$B$17,2,"False"),"")</f>
        <v>4</v>
      </c>
      <c r="AC28" s="101">
        <f t="shared" si="0"/>
        <v>16</v>
      </c>
      <c r="AD28" s="101"/>
      <c r="AE28" s="101"/>
      <c r="AF28" s="101"/>
      <c r="AG28" s="101"/>
      <c r="AH28" s="101"/>
      <c r="AI28" s="101" t="str">
        <f>IF(ISTEXT(#REF!),VLOOKUP(#REF!,VLookup!$A$2:$B$6,2,"FALSE"),"")</f>
        <v/>
      </c>
      <c r="AJ28" s="101" t="str">
        <f>IF(ISTEXT(#REF!),VLOOKUP(#REF!,VLookup!$A$13:$B$17,2,"False"),"")</f>
        <v/>
      </c>
      <c r="AK28" s="101" t="str">
        <f>IF(AND(ISTEXT(#REF!),ISTEXT(#REF!)),(AI28*AJ28),"")</f>
        <v/>
      </c>
    </row>
    <row r="29" spans="1:37" ht="30.6">
      <c r="A29" s="3"/>
      <c r="B29" s="154"/>
      <c r="C29" s="148" t="s">
        <v>129</v>
      </c>
      <c r="D29" s="146" t="s">
        <v>128</v>
      </c>
      <c r="E29" s="146" t="s">
        <v>130</v>
      </c>
      <c r="F29" s="149" t="s">
        <v>28</v>
      </c>
      <c r="G29" s="150" t="s">
        <v>11</v>
      </c>
      <c r="H29" s="158" t="str">
        <f>IF(ISNUMBER(AC29),VLOOKUP(AC29,VLookup!$A$23:$B$47,2,FALSE),"")</f>
        <v>High</v>
      </c>
      <c r="AA29" s="101">
        <f>IF(ISTEXT(F29),VLOOKUP(F29,VLookup!$A$2:$B$6,2,"FALSE"),"")</f>
        <v>4</v>
      </c>
      <c r="AB29" s="101">
        <f>IF(ISTEXT(G29),VLOOKUP(G29,VLookup!$A$13:$B$17,2,"False"),"")</f>
        <v>4</v>
      </c>
      <c r="AC29" s="101">
        <f t="shared" si="0"/>
        <v>16</v>
      </c>
      <c r="AD29" s="101"/>
      <c r="AE29" s="101"/>
      <c r="AF29" s="101"/>
      <c r="AG29" s="101"/>
      <c r="AH29" s="101"/>
      <c r="AI29" s="101" t="str">
        <f>IF(ISTEXT(#REF!),VLOOKUP(#REF!,VLookup!$A$2:$B$6,2,"FALSE"),"")</f>
        <v/>
      </c>
      <c r="AJ29" s="101" t="str">
        <f>IF(ISTEXT(#REF!),VLOOKUP(#REF!,VLookup!$A$13:$B$17,2,"False"),"")</f>
        <v/>
      </c>
      <c r="AK29" s="101" t="str">
        <f>IF(AND(ISTEXT(#REF!),ISTEXT(#REF!)),(AI29*AJ29),"")</f>
        <v/>
      </c>
    </row>
    <row r="30" spans="1:37" ht="21">
      <c r="A30" s="3"/>
      <c r="B30" s="154"/>
      <c r="C30" s="148" t="s">
        <v>132</v>
      </c>
      <c r="D30" s="148" t="s">
        <v>131</v>
      </c>
      <c r="E30" s="148" t="s">
        <v>133</v>
      </c>
      <c r="F30" s="149" t="s">
        <v>31</v>
      </c>
      <c r="G30" s="150" t="s">
        <v>16</v>
      </c>
      <c r="H30" s="158" t="str">
        <f>IF(ISNUMBER(AC30),VLOOKUP(AC30,VLookup!$A$23:$B$47,2,FALSE),"")</f>
        <v>Low</v>
      </c>
      <c r="AA30" s="101">
        <f>IF(ISTEXT(F30),VLOOKUP(F30,VLookup!$A$2:$B$6,2,"FALSE"),"")</f>
        <v>3</v>
      </c>
      <c r="AB30" s="101">
        <f>IF(ISTEXT(G30),VLOOKUP(G30,VLookup!$A$13:$B$17,2,"False"),"")</f>
        <v>2</v>
      </c>
      <c r="AC30" s="101">
        <f t="shared" si="0"/>
        <v>6</v>
      </c>
      <c r="AD30" s="101"/>
      <c r="AE30" s="101"/>
      <c r="AF30" s="101"/>
      <c r="AG30" s="101"/>
      <c r="AH30" s="101"/>
      <c r="AI30" s="101" t="str">
        <f>IF(ISTEXT(#REF!),VLOOKUP(#REF!,VLookup!$A$2:$B$6,2,"FALSE"),"")</f>
        <v/>
      </c>
      <c r="AJ30" s="101" t="str">
        <f>IF(ISTEXT(#REF!),VLOOKUP(#REF!,VLookup!$A$13:$B$17,2,"False"),"")</f>
        <v/>
      </c>
      <c r="AK30" s="101" t="str">
        <f>IF(AND(ISTEXT(#REF!),ISTEXT(#REF!)),(AI30*AJ30),"")</f>
        <v/>
      </c>
    </row>
    <row r="31" spans="1:37" ht="31.5">
      <c r="A31" s="3"/>
      <c r="B31" s="154"/>
      <c r="C31" s="146" t="s">
        <v>135</v>
      </c>
      <c r="D31" s="148" t="s">
        <v>134</v>
      </c>
      <c r="E31" s="148" t="s">
        <v>136</v>
      </c>
      <c r="F31" s="149" t="s">
        <v>31</v>
      </c>
      <c r="G31" s="150" t="s">
        <v>13</v>
      </c>
      <c r="H31" s="158" t="str">
        <f>IF(ISNUMBER(AC31),VLOOKUP(AC31,VLookup!$A$23:$B$47,2,FALSE),"")</f>
        <v>Low</v>
      </c>
      <c r="AA31" s="101">
        <f>IF(ISTEXT(F31),VLOOKUP(F31,VLookup!$A$2:$B$6,2,"FALSE"),"")</f>
        <v>3</v>
      </c>
      <c r="AB31" s="101">
        <f>IF(ISTEXT(G31),VLOOKUP(G31,VLookup!$A$13:$B$17,2,"False"),"")</f>
        <v>3</v>
      </c>
      <c r="AC31" s="101">
        <f t="shared" si="0"/>
        <v>9</v>
      </c>
      <c r="AD31" s="101"/>
      <c r="AE31" s="101"/>
      <c r="AF31" s="101"/>
      <c r="AG31" s="101"/>
      <c r="AH31" s="101"/>
      <c r="AI31" s="101" t="str">
        <f>IF(ISTEXT(#REF!),VLOOKUP(#REF!,VLookup!$A$2:$B$6,2,"FALSE"),"")</f>
        <v/>
      </c>
      <c r="AJ31" s="101" t="str">
        <f>IF(ISTEXT(#REF!),VLOOKUP(#REF!,VLookup!$A$13:$B$17,2,"False"),"")</f>
        <v/>
      </c>
      <c r="AK31" s="101" t="str">
        <f>IF(AND(ISTEXT(#REF!),ISTEXT(#REF!)),(AI31*AJ31),"")</f>
        <v/>
      </c>
    </row>
    <row r="32" spans="1:37" ht="20.399999999999999">
      <c r="A32" s="3"/>
      <c r="B32" s="154"/>
      <c r="C32" s="146" t="s">
        <v>138</v>
      </c>
      <c r="D32" s="146" t="s">
        <v>137</v>
      </c>
      <c r="E32" s="146" t="s">
        <v>139</v>
      </c>
      <c r="F32" s="149" t="s">
        <v>28</v>
      </c>
      <c r="G32" s="150" t="s">
        <v>11</v>
      </c>
      <c r="H32" s="158" t="str">
        <f>IF(ISNUMBER(AC32),VLOOKUP(AC32,VLookup!$A$23:$B$47,2,FALSE),"")</f>
        <v>High</v>
      </c>
      <c r="AA32" s="101">
        <f>IF(ISTEXT(F32),VLOOKUP(F32,VLookup!$A$2:$B$6,2,"FALSE"),"")</f>
        <v>4</v>
      </c>
      <c r="AB32" s="101">
        <f>IF(ISTEXT(G32),VLOOKUP(G32,VLookup!$A$13:$B$17,2,"False"),"")</f>
        <v>4</v>
      </c>
      <c r="AC32" s="101">
        <f t="shared" si="0"/>
        <v>16</v>
      </c>
      <c r="AD32" s="101"/>
      <c r="AE32" s="101"/>
      <c r="AF32" s="101"/>
      <c r="AG32" s="101"/>
      <c r="AH32" s="101"/>
      <c r="AI32" s="101" t="str">
        <f>IF(ISTEXT(#REF!),VLOOKUP(#REF!,VLookup!$A$2:$B$6,2,"FALSE"),"")</f>
        <v/>
      </c>
      <c r="AJ32" s="101" t="str">
        <f>IF(ISTEXT(#REF!),VLOOKUP(#REF!,VLookup!$A$13:$B$17,2,"False"),"")</f>
        <v/>
      </c>
      <c r="AK32" s="101" t="str">
        <f>IF(AND(ISTEXT(#REF!),ISTEXT(#REF!)),(AI32*AJ32),"")</f>
        <v/>
      </c>
    </row>
    <row r="33" spans="1:37" ht="51">
      <c r="A33" s="3"/>
      <c r="B33" s="154"/>
      <c r="C33" s="148" t="s">
        <v>141</v>
      </c>
      <c r="D33" s="146" t="s">
        <v>140</v>
      </c>
      <c r="E33" s="146" t="s">
        <v>142</v>
      </c>
      <c r="F33" s="149" t="s">
        <v>28</v>
      </c>
      <c r="G33" s="150" t="s">
        <v>11</v>
      </c>
      <c r="H33" s="158" t="str">
        <f>IF(ISNUMBER(AC33),VLOOKUP(AC33,VLookup!$A$23:$B$47,2,FALSE),"")</f>
        <v>High</v>
      </c>
      <c r="AA33" s="101">
        <f>IF(ISTEXT(F33),VLOOKUP(F33,VLookup!$A$2:$B$6,2,"FALSE"),"")</f>
        <v>4</v>
      </c>
      <c r="AB33" s="101">
        <f>IF(ISTEXT(G33),VLOOKUP(G33,VLookup!$A$13:$B$17,2,"False"),"")</f>
        <v>4</v>
      </c>
      <c r="AC33" s="101">
        <f t="shared" si="0"/>
        <v>16</v>
      </c>
      <c r="AD33" s="101"/>
      <c r="AE33" s="101"/>
      <c r="AF33" s="101"/>
      <c r="AG33" s="101"/>
      <c r="AH33" s="101"/>
      <c r="AI33" s="101" t="str">
        <f>IF(ISTEXT(#REF!),VLOOKUP(#REF!,VLookup!$A$2:$B$6,2,"FALSE"),"")</f>
        <v/>
      </c>
      <c r="AJ33" s="101" t="str">
        <f>IF(ISTEXT(#REF!),VLOOKUP(#REF!,VLookup!$A$13:$B$17,2,"False"),"")</f>
        <v/>
      </c>
      <c r="AK33" s="101" t="str">
        <f>IF(AND(ISTEXT(#REF!),ISTEXT(#REF!)),(AI33*AJ33),"")</f>
        <v/>
      </c>
    </row>
    <row r="34" spans="1:37" ht="20.399999999999999">
      <c r="A34" s="3"/>
      <c r="B34" s="154"/>
      <c r="C34" s="146" t="s">
        <v>144</v>
      </c>
      <c r="D34" s="146" t="s">
        <v>143</v>
      </c>
      <c r="E34" s="146" t="s">
        <v>145</v>
      </c>
      <c r="F34" s="149" t="s">
        <v>31</v>
      </c>
      <c r="G34" s="150" t="s">
        <v>13</v>
      </c>
      <c r="H34" s="158" t="str">
        <f>IF(ISNUMBER(AC34),VLOOKUP(AC34,VLookup!$A$23:$B$47,2,FALSE),"")</f>
        <v>Low</v>
      </c>
      <c r="AA34" s="101">
        <f>IF(ISTEXT(F34),VLOOKUP(F34,VLookup!$A$2:$B$6,2,"FALSE"),"")</f>
        <v>3</v>
      </c>
      <c r="AB34" s="101">
        <f>IF(ISTEXT(G34),VLOOKUP(G34,VLookup!$A$13:$B$17,2,"False"),"")</f>
        <v>3</v>
      </c>
      <c r="AC34" s="101">
        <f t="shared" si="0"/>
        <v>9</v>
      </c>
      <c r="AD34" s="101"/>
      <c r="AE34" s="101"/>
      <c r="AF34" s="101"/>
      <c r="AG34" s="101"/>
      <c r="AH34" s="101"/>
      <c r="AI34" s="101" t="str">
        <f>IF(ISTEXT(#REF!),VLOOKUP(#REF!,VLookup!$A$2:$B$6,2,"FALSE"),"")</f>
        <v/>
      </c>
      <c r="AJ34" s="101" t="str">
        <f>IF(ISTEXT(#REF!),VLOOKUP(#REF!,VLookup!$A$13:$B$17,2,"False"),"")</f>
        <v/>
      </c>
      <c r="AK34" s="101" t="str">
        <f>IF(AND(ISTEXT(#REF!),ISTEXT(#REF!)),(AI34*AJ34),"")</f>
        <v/>
      </c>
    </row>
    <row r="35" spans="1:37" ht="21">
      <c r="A35" s="3"/>
      <c r="B35" s="154"/>
      <c r="C35" s="148" t="s">
        <v>147</v>
      </c>
      <c r="D35" s="148" t="s">
        <v>146</v>
      </c>
      <c r="E35" s="146" t="s">
        <v>148</v>
      </c>
      <c r="F35" s="149" t="s">
        <v>31</v>
      </c>
      <c r="G35" s="150" t="s">
        <v>13</v>
      </c>
      <c r="H35" s="158" t="str">
        <f>IF(ISNUMBER(AC35),VLOOKUP(AC35,VLookup!$A$23:$B$47,2,FALSE),"")</f>
        <v>Low</v>
      </c>
      <c r="AA35" s="101">
        <f>IF(ISTEXT(F35),VLOOKUP(F35,VLookup!$A$2:$B$6,2,"FALSE"),"")</f>
        <v>3</v>
      </c>
      <c r="AB35" s="101">
        <f>IF(ISTEXT(G35),VLOOKUP(G35,VLookup!$A$13:$B$17,2,"False"),"")</f>
        <v>3</v>
      </c>
      <c r="AC35" s="101">
        <f t="shared" si="0"/>
        <v>9</v>
      </c>
      <c r="AD35" s="101"/>
      <c r="AE35" s="101"/>
      <c r="AF35" s="101"/>
      <c r="AG35" s="101"/>
      <c r="AH35" s="101"/>
      <c r="AI35" s="101" t="str">
        <f>IF(ISTEXT(#REF!),VLOOKUP(#REF!,VLookup!$A$2:$B$6,2,"FALSE"),"")</f>
        <v/>
      </c>
      <c r="AJ35" s="101" t="str">
        <f>IF(ISTEXT(#REF!),VLOOKUP(#REF!,VLookup!$A$13:$B$17,2,"False"),"")</f>
        <v/>
      </c>
      <c r="AK35" s="101" t="str">
        <f>IF(AND(ISTEXT(#REF!),ISTEXT(#REF!)),(AI35*AJ35),"")</f>
        <v/>
      </c>
    </row>
    <row r="36" spans="1:37" ht="20.399999999999999">
      <c r="A36" s="3"/>
      <c r="B36" s="154"/>
      <c r="C36" s="146" t="s">
        <v>150</v>
      </c>
      <c r="D36" s="146" t="s">
        <v>149</v>
      </c>
      <c r="E36" s="146" t="s">
        <v>151</v>
      </c>
      <c r="F36" s="149" t="s">
        <v>31</v>
      </c>
      <c r="G36" s="150" t="s">
        <v>11</v>
      </c>
      <c r="H36" s="158" t="str">
        <f>IF(ISNUMBER(AC36),VLOOKUP(AC36,VLookup!$A$23:$B$47,2,FALSE),"")</f>
        <v>Moderate</v>
      </c>
      <c r="AA36" s="101">
        <f>IF(ISTEXT(F36),VLOOKUP(F36,VLookup!$A$2:$B$6,2,"FALSE"),"")</f>
        <v>3</v>
      </c>
      <c r="AB36" s="101">
        <f>IF(ISTEXT(G36),VLOOKUP(G36,VLookup!$A$13:$B$17,2,"False"),"")</f>
        <v>4</v>
      </c>
      <c r="AC36" s="101">
        <f t="shared" si="0"/>
        <v>12</v>
      </c>
      <c r="AD36" s="101"/>
      <c r="AE36" s="101"/>
      <c r="AF36" s="101"/>
      <c r="AG36" s="101"/>
      <c r="AH36" s="101"/>
      <c r="AI36" s="101" t="str">
        <f>IF(ISTEXT(#REF!),VLOOKUP(#REF!,VLookup!$A$2:$B$6,2,"FALSE"),"")</f>
        <v/>
      </c>
      <c r="AJ36" s="101" t="str">
        <f>IF(ISTEXT(#REF!),VLOOKUP(#REF!,VLookup!$A$13:$B$17,2,"False"),"")</f>
        <v/>
      </c>
      <c r="AK36" s="101" t="str">
        <f>IF(AND(ISTEXT(#REF!),ISTEXT(#REF!)),(AI36*AJ36),"")</f>
        <v/>
      </c>
    </row>
    <row r="37" spans="1:37" ht="20.399999999999999">
      <c r="A37" s="3"/>
      <c r="B37" s="154"/>
      <c r="C37" s="148" t="s">
        <v>153</v>
      </c>
      <c r="D37" s="146" t="s">
        <v>152</v>
      </c>
      <c r="E37" s="146" t="s">
        <v>154</v>
      </c>
      <c r="F37" s="149" t="s">
        <v>31</v>
      </c>
      <c r="G37" s="150" t="s">
        <v>11</v>
      </c>
      <c r="H37" s="158" t="str">
        <f>IF(ISNUMBER(AC37),VLOOKUP(AC37,VLookup!$A$23:$B$47,2,FALSE),"")</f>
        <v>Moderate</v>
      </c>
      <c r="AA37" s="101">
        <f>IF(ISTEXT(F37),VLOOKUP(F37,VLookup!$A$2:$B$6,2,"FALSE"),"")</f>
        <v>3</v>
      </c>
      <c r="AB37" s="101">
        <f>IF(ISTEXT(G37),VLOOKUP(G37,VLookup!$A$13:$B$17,2,"False"),"")</f>
        <v>4</v>
      </c>
      <c r="AC37" s="101">
        <f t="shared" si="0"/>
        <v>12</v>
      </c>
      <c r="AD37" s="101"/>
      <c r="AE37" s="101"/>
      <c r="AF37" s="101"/>
      <c r="AG37" s="101"/>
      <c r="AH37" s="101"/>
      <c r="AI37" s="101" t="str">
        <f>IF(ISTEXT(#REF!),VLOOKUP(#REF!,VLookup!$A$2:$B$6,2,"FALSE"),"")</f>
        <v/>
      </c>
      <c r="AJ37" s="101" t="str">
        <f>IF(ISTEXT(#REF!),VLOOKUP(#REF!,VLookup!$A$13:$B$17,2,"False"),"")</f>
        <v/>
      </c>
      <c r="AK37" s="101" t="str">
        <f>IF(AND(ISTEXT(#REF!),ISTEXT(#REF!)),(AI37*AJ37),"")</f>
        <v/>
      </c>
    </row>
    <row r="38" spans="1:37" ht="21">
      <c r="A38" s="3"/>
      <c r="B38" s="154"/>
      <c r="C38" s="148" t="s">
        <v>156</v>
      </c>
      <c r="D38" s="148" t="s">
        <v>155</v>
      </c>
      <c r="E38" s="148" t="s">
        <v>157</v>
      </c>
      <c r="F38" s="149" t="s">
        <v>31</v>
      </c>
      <c r="G38" s="150" t="s">
        <v>11</v>
      </c>
      <c r="H38" s="158" t="str">
        <f>IF(ISNUMBER(AC38),VLOOKUP(AC38,VLookup!$A$23:$B$47,2,FALSE),"")</f>
        <v>Moderate</v>
      </c>
      <c r="AA38" s="101">
        <f>IF(ISTEXT(F38),VLOOKUP(F38,VLookup!$A$2:$B$6,2,"FALSE"),"")</f>
        <v>3</v>
      </c>
      <c r="AB38" s="101">
        <f>IF(ISTEXT(G38),VLOOKUP(G38,VLookup!$A$13:$B$17,2,"False"),"")</f>
        <v>4</v>
      </c>
      <c r="AC38" s="101">
        <f t="shared" si="0"/>
        <v>12</v>
      </c>
      <c r="AD38" s="101"/>
      <c r="AE38" s="101"/>
      <c r="AF38" s="101"/>
      <c r="AG38" s="101"/>
      <c r="AH38" s="101"/>
      <c r="AI38" s="101" t="str">
        <f>IF(ISTEXT(#REF!),VLOOKUP(#REF!,VLookup!$A$2:$B$6,2,"FALSE"),"")</f>
        <v/>
      </c>
      <c r="AJ38" s="101" t="str">
        <f>IF(ISTEXT(#REF!),VLOOKUP(#REF!,VLookup!$A$13:$B$17,2,"False"),"")</f>
        <v/>
      </c>
      <c r="AK38" s="101" t="str">
        <f>IF(AND(ISTEXT(#REF!),ISTEXT(#REF!)),(AI38*AJ38),"")</f>
        <v/>
      </c>
    </row>
    <row r="39" spans="1:37" ht="21">
      <c r="A39" s="3"/>
      <c r="B39" s="154"/>
      <c r="C39" s="146" t="s">
        <v>159</v>
      </c>
      <c r="D39" s="148" t="s">
        <v>158</v>
      </c>
      <c r="E39" s="148" t="s">
        <v>160</v>
      </c>
      <c r="F39" s="149" t="s">
        <v>31</v>
      </c>
      <c r="G39" s="150" t="s">
        <v>11</v>
      </c>
      <c r="H39" s="158" t="str">
        <f>IF(ISNUMBER(AC39),VLOOKUP(AC39,VLookup!$A$23:$B$47,2,FALSE),"")</f>
        <v>Moderate</v>
      </c>
      <c r="AA39" s="101">
        <f>IF(ISTEXT(F39),VLOOKUP(F39,VLookup!$A$2:$B$6,2,"FALSE"),"")</f>
        <v>3</v>
      </c>
      <c r="AB39" s="101">
        <f>IF(ISTEXT(G39),VLOOKUP(G39,VLookup!$A$13:$B$17,2,"False"),"")</f>
        <v>4</v>
      </c>
      <c r="AC39" s="101">
        <f t="shared" si="0"/>
        <v>12</v>
      </c>
      <c r="AD39" s="101"/>
      <c r="AE39" s="101"/>
      <c r="AF39" s="101"/>
      <c r="AG39" s="101"/>
      <c r="AH39" s="101"/>
      <c r="AI39" s="101" t="str">
        <f>IF(ISTEXT(#REF!),VLOOKUP(#REF!,VLookup!$A$2:$B$6,2,"FALSE"),"")</f>
        <v/>
      </c>
      <c r="AJ39" s="101" t="str">
        <f>IF(ISTEXT(#REF!),VLOOKUP(#REF!,VLookup!$A$13:$B$17,2,"False"),"")</f>
        <v/>
      </c>
      <c r="AK39" s="101" t="str">
        <f>IF(AND(ISTEXT(#REF!),ISTEXT(#REF!)),(AI39*AJ39),"")</f>
        <v/>
      </c>
    </row>
    <row r="40" spans="1:37" ht="20.399999999999999">
      <c r="A40" s="3"/>
      <c r="B40" s="154"/>
      <c r="C40" s="146" t="s">
        <v>162</v>
      </c>
      <c r="D40" s="146" t="s">
        <v>161</v>
      </c>
      <c r="E40" s="146" t="s">
        <v>163</v>
      </c>
      <c r="F40" s="149" t="s">
        <v>31</v>
      </c>
      <c r="G40" s="150" t="s">
        <v>16</v>
      </c>
      <c r="H40" s="158" t="str">
        <f>IF(ISNUMBER(AC40),VLOOKUP(AC40,VLookup!$A$23:$B$47,2,FALSE),"")</f>
        <v>Low</v>
      </c>
      <c r="AA40" s="101">
        <f>IF(ISTEXT(F40),VLOOKUP(F40,VLookup!$A$2:$B$6,2,"FALSE"),"")</f>
        <v>3</v>
      </c>
      <c r="AB40" s="101">
        <f>IF(ISTEXT(G40),VLOOKUP(G40,VLookup!$A$13:$B$17,2,"False"),"")</f>
        <v>2</v>
      </c>
      <c r="AC40" s="101">
        <f t="shared" si="0"/>
        <v>6</v>
      </c>
      <c r="AD40" s="101"/>
      <c r="AE40" s="101"/>
      <c r="AF40" s="101"/>
      <c r="AG40" s="101"/>
      <c r="AH40" s="101"/>
      <c r="AI40" s="101" t="str">
        <f>IF(ISTEXT(#REF!),VLOOKUP(#REF!,VLookup!$A$2:$B$6,2,"FALSE"),"")</f>
        <v/>
      </c>
      <c r="AJ40" s="101" t="str">
        <f>IF(ISTEXT(#REF!),VLOOKUP(#REF!,VLookup!$A$13:$B$17,2,"False"),"")</f>
        <v/>
      </c>
      <c r="AK40" s="101" t="str">
        <f>IF(AND(ISTEXT(#REF!),ISTEXT(#REF!)),(AI40*AJ40),"")</f>
        <v/>
      </c>
    </row>
    <row r="41" spans="1:37" ht="20.399999999999999">
      <c r="A41" s="3"/>
      <c r="B41" s="154"/>
      <c r="C41" s="148" t="s">
        <v>165</v>
      </c>
      <c r="D41" s="146" t="s">
        <v>164</v>
      </c>
      <c r="E41" s="146" t="s">
        <v>166</v>
      </c>
      <c r="F41" s="149" t="s">
        <v>31</v>
      </c>
      <c r="G41" s="150" t="s">
        <v>16</v>
      </c>
      <c r="H41" s="158" t="str">
        <f>IF(ISNUMBER(AC41),VLOOKUP(AC41,VLookup!$A$23:$B$47,2,FALSE),"")</f>
        <v>Low</v>
      </c>
      <c r="AA41" s="101">
        <f>IF(ISTEXT(F41),VLOOKUP(F41,VLookup!$A$2:$B$6,2,"FALSE"),"")</f>
        <v>3</v>
      </c>
      <c r="AB41" s="101">
        <f>IF(ISTEXT(G41),VLOOKUP(G41,VLookup!$A$13:$B$17,2,"False"),"")</f>
        <v>2</v>
      </c>
      <c r="AC41" s="101">
        <f t="shared" si="0"/>
        <v>6</v>
      </c>
      <c r="AD41" s="101"/>
      <c r="AE41" s="101"/>
      <c r="AF41" s="101"/>
      <c r="AG41" s="101"/>
      <c r="AH41" s="101"/>
      <c r="AI41" s="101" t="str">
        <f>IF(ISTEXT(#REF!),VLOOKUP(#REF!,VLookup!$A$2:$B$6,2,"FALSE"),"")</f>
        <v/>
      </c>
      <c r="AJ41" s="101" t="str">
        <f>IF(ISTEXT(#REF!),VLOOKUP(#REF!,VLookup!$A$13:$B$17,2,"False"),"")</f>
        <v/>
      </c>
      <c r="AK41" s="101" t="str">
        <f>IF(AND(ISTEXT(#REF!),ISTEXT(#REF!)),(AI41*AJ41),"")</f>
        <v/>
      </c>
    </row>
    <row r="42" spans="1:37" ht="20.399999999999999">
      <c r="A42" s="3"/>
      <c r="B42" s="154"/>
      <c r="C42" s="146" t="s">
        <v>168</v>
      </c>
      <c r="D42" s="146" t="s">
        <v>167</v>
      </c>
      <c r="E42" s="146" t="s">
        <v>169</v>
      </c>
      <c r="F42" s="149" t="s">
        <v>31</v>
      </c>
      <c r="G42" s="150" t="s">
        <v>16</v>
      </c>
      <c r="H42" s="158" t="str">
        <f>IF(ISNUMBER(AC42),VLOOKUP(AC42,VLookup!$A$23:$B$47,2,FALSE),"")</f>
        <v>Low</v>
      </c>
      <c r="AA42" s="101">
        <f>IF(ISTEXT(F42),VLOOKUP(F42,VLookup!$A$2:$B$6,2,"FALSE"),"")</f>
        <v>3</v>
      </c>
      <c r="AB42" s="101">
        <f>IF(ISTEXT(G42),VLOOKUP(G42,VLookup!$A$13:$B$17,2,"False"),"")</f>
        <v>2</v>
      </c>
      <c r="AC42" s="101">
        <f t="shared" si="0"/>
        <v>6</v>
      </c>
      <c r="AD42" s="101"/>
      <c r="AE42" s="101"/>
      <c r="AF42" s="101"/>
      <c r="AG42" s="101"/>
      <c r="AH42" s="101"/>
      <c r="AI42" s="101" t="str">
        <f>IF(ISTEXT(#REF!),VLOOKUP(#REF!,VLookup!$A$2:$B$6,2,"FALSE"),"")</f>
        <v/>
      </c>
      <c r="AJ42" s="101" t="str">
        <f>IF(ISTEXT(#REF!),VLOOKUP(#REF!,VLookup!$A$13:$B$17,2,"False"),"")</f>
        <v/>
      </c>
      <c r="AK42" s="101" t="str">
        <f>IF(AND(ISTEXT(#REF!),ISTEXT(#REF!)),(AI42*AJ42),"")</f>
        <v/>
      </c>
    </row>
    <row r="43" spans="1:37" ht="21">
      <c r="A43" s="3"/>
      <c r="B43" s="154"/>
      <c r="C43" s="148" t="s">
        <v>171</v>
      </c>
      <c r="D43" s="148" t="s">
        <v>170</v>
      </c>
      <c r="E43" s="146" t="s">
        <v>172</v>
      </c>
      <c r="F43" s="149" t="s">
        <v>31</v>
      </c>
      <c r="G43" s="150" t="s">
        <v>11</v>
      </c>
      <c r="H43" s="158" t="str">
        <f>IF(ISNUMBER(AC43),VLOOKUP(AC43,VLookup!$A$23:$B$47,2,FALSE),"")</f>
        <v>Moderate</v>
      </c>
      <c r="AA43" s="101">
        <f>IF(ISTEXT(F43),VLOOKUP(F43,VLookup!$A$2:$B$6,2,"FALSE"),"")</f>
        <v>3</v>
      </c>
      <c r="AB43" s="101">
        <f>IF(ISTEXT(G43),VLOOKUP(G43,VLookup!$A$13:$B$17,2,"False"),"")</f>
        <v>4</v>
      </c>
      <c r="AC43" s="101">
        <f t="shared" si="0"/>
        <v>12</v>
      </c>
      <c r="AD43" s="101"/>
      <c r="AE43" s="101"/>
      <c r="AF43" s="101"/>
      <c r="AG43" s="101"/>
      <c r="AH43" s="101"/>
      <c r="AI43" s="101" t="str">
        <f>IF(ISTEXT(#REF!),VLOOKUP(#REF!,VLookup!$A$2:$B$6,2,"FALSE"),"")</f>
        <v/>
      </c>
      <c r="AJ43" s="101" t="str">
        <f>IF(ISTEXT(#REF!),VLOOKUP(#REF!,VLookup!$A$13:$B$17,2,"False"),"")</f>
        <v/>
      </c>
      <c r="AK43" s="101" t="str">
        <f>IF(AND(ISTEXT(#REF!),ISTEXT(#REF!)),(AI43*AJ43),"")</f>
        <v/>
      </c>
    </row>
    <row r="44" spans="1:37" ht="20.399999999999999">
      <c r="A44" s="3"/>
      <c r="B44" s="154"/>
      <c r="C44" s="146" t="s">
        <v>174</v>
      </c>
      <c r="D44" s="146" t="s">
        <v>173</v>
      </c>
      <c r="E44" s="146" t="s">
        <v>175</v>
      </c>
      <c r="F44" s="149" t="s">
        <v>31</v>
      </c>
      <c r="G44" s="150" t="s">
        <v>13</v>
      </c>
      <c r="H44" s="158" t="str">
        <f>IF(ISNUMBER(AC44),VLOOKUP(AC44,VLookup!$A$23:$B$47,2,FALSE),"")</f>
        <v>Low</v>
      </c>
      <c r="AA44" s="101">
        <f>IF(ISTEXT(F44),VLOOKUP(F44,VLookup!$A$2:$B$6,2,"FALSE"),"")</f>
        <v>3</v>
      </c>
      <c r="AB44" s="101">
        <f>IF(ISTEXT(G44),VLOOKUP(G44,VLookup!$A$13:$B$17,2,"False"),"")</f>
        <v>3</v>
      </c>
      <c r="AC44" s="101">
        <f t="shared" si="0"/>
        <v>9</v>
      </c>
      <c r="AD44" s="101"/>
      <c r="AE44" s="101"/>
      <c r="AF44" s="101"/>
      <c r="AG44" s="101"/>
      <c r="AH44" s="101"/>
      <c r="AI44" s="101" t="str">
        <f>IF(ISTEXT(#REF!),VLOOKUP(#REF!,VLookup!$A$2:$B$6,2,"FALSE"),"")</f>
        <v/>
      </c>
      <c r="AJ44" s="101" t="str">
        <f>IF(ISTEXT(#REF!),VLOOKUP(#REF!,VLookup!$A$13:$B$17,2,"False"),"")</f>
        <v/>
      </c>
      <c r="AK44" s="101" t="str">
        <f>IF(AND(ISTEXT(#REF!),ISTEXT(#REF!)),(AI44*AJ44),"")</f>
        <v/>
      </c>
    </row>
    <row r="45" spans="1:37" ht="20.7" thickBot="1">
      <c r="A45" s="3"/>
      <c r="B45" s="155"/>
      <c r="C45" s="146" t="s">
        <v>177</v>
      </c>
      <c r="D45" s="146" t="s">
        <v>178</v>
      </c>
      <c r="E45" s="146" t="s">
        <v>176</v>
      </c>
      <c r="F45" s="149" t="s">
        <v>31</v>
      </c>
      <c r="G45" s="150" t="s">
        <v>13</v>
      </c>
      <c r="H45" s="150" t="str">
        <f>IF(ISNUMBER(AC45),VLOOKUP(AC45,VLookup!$A$23:$B$47,2,FALSE),"")</f>
        <v>Low</v>
      </c>
      <c r="AA45" s="101">
        <f>IF(ISTEXT(F45),VLOOKUP(F45,VLookup!$A$2:$B$6,2,"FALSE"),"")</f>
        <v>3</v>
      </c>
      <c r="AB45" s="101">
        <f>IF(ISTEXT(G45),VLOOKUP(G45,VLookup!$A$13:$B$17,2,"False"),"")</f>
        <v>3</v>
      </c>
      <c r="AC45" s="101">
        <f t="shared" si="0"/>
        <v>9</v>
      </c>
      <c r="AD45" s="101"/>
      <c r="AE45" s="101"/>
      <c r="AF45" s="101"/>
      <c r="AG45" s="101"/>
      <c r="AH45" s="101"/>
      <c r="AI45" s="101" t="str">
        <f>IF(ISTEXT(#REF!),VLOOKUP(#REF!,VLookup!$A$2:$B$6,2,"FALSE"),"")</f>
        <v/>
      </c>
      <c r="AJ45" s="101" t="str">
        <f>IF(ISTEXT(#REF!),VLOOKUP(#REF!,VLookup!$A$13:$B$17,2,"False"),"")</f>
        <v/>
      </c>
      <c r="AK45" s="101" t="str">
        <f>IF(AND(ISTEXT(#REF!),ISTEXT(#REF!)),(AI45*AJ45),"")</f>
        <v/>
      </c>
    </row>
    <row r="46" spans="1:37" ht="31.5" customHeight="1" thickBot="1">
      <c r="A46" s="3"/>
      <c r="B46" s="56"/>
      <c r="C46" s="113"/>
      <c r="D46" s="113"/>
      <c r="E46" s="114"/>
      <c r="F46" s="156"/>
      <c r="G46" s="157"/>
      <c r="H46" s="157" t="str">
        <f>IF(ISNUMBER(AC46),VLOOKUP(AC46,VLookup!$A$23:$B$47,2,FALSE),"")</f>
        <v/>
      </c>
      <c r="AA46" s="101" t="str">
        <f>IF(ISTEXT(F46),VLOOKUP(F46,VLookup!$A$2:$B$6,2,"FALSE"),"")</f>
        <v/>
      </c>
      <c r="AB46" s="101" t="str">
        <f>IF(ISTEXT(G46),VLOOKUP(G46,VLookup!$A$13:$B$17,2,"False"),"")</f>
        <v/>
      </c>
      <c r="AC46" s="101" t="str">
        <f t="shared" si="0"/>
        <v/>
      </c>
      <c r="AD46" s="101"/>
      <c r="AE46" s="101"/>
      <c r="AF46" s="101"/>
      <c r="AG46" s="101"/>
      <c r="AH46" s="101"/>
      <c r="AI46" s="101" t="str">
        <f>IF(ISTEXT(#REF!),VLOOKUP(#REF!,VLookup!$A$2:$B$6,2,"FALSE"),"")</f>
        <v/>
      </c>
      <c r="AJ46" s="101" t="str">
        <f>IF(ISTEXT(#REF!),VLOOKUP(#REF!,VLookup!$A$13:$B$17,2,"False"),"")</f>
        <v/>
      </c>
      <c r="AK46" s="101" t="str">
        <f>IF(AND(ISTEXT(#REF!),ISTEXT(#REF!)),(AI46*AJ46),"")</f>
        <v/>
      </c>
    </row>
    <row r="47" spans="1:37" ht="31.5" customHeight="1">
      <c r="A47" s="3"/>
      <c r="B47" s="160" t="s">
        <v>209</v>
      </c>
      <c r="C47" s="146" t="s">
        <v>211</v>
      </c>
      <c r="D47" s="146" t="s">
        <v>210</v>
      </c>
      <c r="E47" s="146" t="s">
        <v>212</v>
      </c>
      <c r="F47" s="149" t="s">
        <v>28</v>
      </c>
      <c r="G47" s="150" t="s">
        <v>11</v>
      </c>
      <c r="H47" s="150" t="str">
        <f>IF(ISNUMBER(AC47),VLOOKUP(AC47,VLookup!$A$23:$B$47,2,FALSE),"")</f>
        <v>High</v>
      </c>
      <c r="AA47" s="101">
        <f>IF(ISTEXT(F47),VLOOKUP(F47,VLookup!$A$2:$B$6,2,"FALSE"),"")</f>
        <v>4</v>
      </c>
      <c r="AB47" s="101">
        <f>IF(ISTEXT(G47),VLOOKUP(G47,VLookup!$A$13:$B$17,2,"False"),"")</f>
        <v>4</v>
      </c>
      <c r="AC47" s="101">
        <f t="shared" si="0"/>
        <v>16</v>
      </c>
      <c r="AD47" s="101"/>
      <c r="AE47" s="101"/>
      <c r="AF47" s="101"/>
      <c r="AG47" s="101"/>
      <c r="AH47" s="101"/>
      <c r="AI47" s="101" t="str">
        <f>IF(ISTEXT(#REF!),VLOOKUP(#REF!,VLookup!$A$2:$B$6,2,"FALSE"),"")</f>
        <v/>
      </c>
      <c r="AJ47" s="101" t="str">
        <f>IF(ISTEXT(#REF!),VLOOKUP(#REF!,VLookup!$A$13:$B$17,2,"False"),"")</f>
        <v/>
      </c>
      <c r="AK47" s="101" t="str">
        <f>IF(AND(ISTEXT(#REF!),ISTEXT(#REF!)),(AI47*AJ47),"")</f>
        <v/>
      </c>
    </row>
    <row r="48" spans="1:37" ht="31.5" customHeight="1">
      <c r="A48" s="3"/>
      <c r="B48" s="161"/>
      <c r="C48" s="148" t="s">
        <v>214</v>
      </c>
      <c r="D48" s="146" t="s">
        <v>213</v>
      </c>
      <c r="E48" s="146" t="s">
        <v>215</v>
      </c>
      <c r="F48" s="149" t="s">
        <v>31</v>
      </c>
      <c r="G48" s="150" t="s">
        <v>11</v>
      </c>
      <c r="H48" s="158" t="str">
        <f>IF(ISNUMBER(AC48),VLOOKUP(AC48,VLookup!$A$23:$B$47,2,FALSE),"")</f>
        <v>Moderate</v>
      </c>
      <c r="AA48" s="101">
        <f>IF(ISTEXT(F48),VLOOKUP(F48,VLookup!$A$2:$B$6,2,"FALSE"),"")</f>
        <v>3</v>
      </c>
      <c r="AB48" s="101">
        <f>IF(ISTEXT(G48),VLOOKUP(G48,VLookup!$A$13:$B$17,2,"False"),"")</f>
        <v>4</v>
      </c>
      <c r="AC48" s="101">
        <f t="shared" si="0"/>
        <v>12</v>
      </c>
      <c r="AD48" s="101"/>
      <c r="AE48" s="101"/>
      <c r="AF48" s="101"/>
      <c r="AG48" s="101"/>
      <c r="AH48" s="101"/>
      <c r="AI48" s="101" t="str">
        <f>IF(ISTEXT(#REF!),VLOOKUP(#REF!,VLookup!$A$2:$B$6,2,"FALSE"),"")</f>
        <v/>
      </c>
      <c r="AJ48" s="101" t="str">
        <f>IF(ISTEXT(#REF!),VLOOKUP(#REF!,VLookup!$A$13:$B$17,2,"False"),"")</f>
        <v/>
      </c>
      <c r="AK48" s="101" t="str">
        <f>IF(AND(ISTEXT(#REF!),ISTEXT(#REF!)),(AI48*AJ48),"")</f>
        <v/>
      </c>
    </row>
    <row r="49" spans="1:37" ht="31.5" customHeight="1">
      <c r="A49" s="3"/>
      <c r="B49" s="161"/>
      <c r="C49" s="148" t="s">
        <v>217</v>
      </c>
      <c r="D49" s="148" t="s">
        <v>216</v>
      </c>
      <c r="E49" s="148" t="s">
        <v>218</v>
      </c>
      <c r="F49" s="149" t="s">
        <v>31</v>
      </c>
      <c r="G49" s="150" t="s">
        <v>11</v>
      </c>
      <c r="H49" s="158" t="str">
        <f>IF(ISNUMBER(AC49),VLOOKUP(AC49,VLookup!$A$23:$B$47,2,FALSE),"")</f>
        <v>Moderate</v>
      </c>
      <c r="AA49" s="101">
        <f>IF(ISTEXT(F49),VLOOKUP(F49,VLookup!$A$2:$B$6,2,"FALSE"),"")</f>
        <v>3</v>
      </c>
      <c r="AB49" s="101">
        <f>IF(ISTEXT(G49),VLOOKUP(G49,VLookup!$A$13:$B$17,2,"False"),"")</f>
        <v>4</v>
      </c>
      <c r="AC49" s="101">
        <f t="shared" si="0"/>
        <v>12</v>
      </c>
      <c r="AD49" s="101"/>
      <c r="AE49" s="101"/>
      <c r="AF49" s="101"/>
      <c r="AG49" s="101"/>
      <c r="AH49" s="101"/>
      <c r="AI49" s="101" t="str">
        <f>IF(ISTEXT(#REF!),VLOOKUP(#REF!,VLookup!$A$2:$B$6,2,"FALSE"),"")</f>
        <v/>
      </c>
      <c r="AJ49" s="101" t="str">
        <f>IF(ISTEXT(#REF!),VLOOKUP(#REF!,VLookup!$A$13:$B$17,2,"False"),"")</f>
        <v/>
      </c>
      <c r="AK49" s="101" t="str">
        <f>IF(AND(ISTEXT(#REF!),ISTEXT(#REF!)),(AI49*AJ49),"")</f>
        <v/>
      </c>
    </row>
    <row r="50" spans="1:37" ht="31.5" customHeight="1">
      <c r="A50" s="3"/>
      <c r="B50" s="161"/>
      <c r="C50" s="146" t="s">
        <v>220</v>
      </c>
      <c r="D50" s="148" t="s">
        <v>219</v>
      </c>
      <c r="E50" s="148" t="s">
        <v>221</v>
      </c>
      <c r="F50" s="149" t="s">
        <v>31</v>
      </c>
      <c r="G50" s="150" t="s">
        <v>11</v>
      </c>
      <c r="H50" s="158" t="str">
        <f>IF(ISNUMBER(AC50),VLOOKUP(AC50,VLookup!$A$23:$B$47,2,FALSE),"")</f>
        <v>Moderate</v>
      </c>
      <c r="AA50" s="101">
        <f>IF(ISTEXT(F50),VLOOKUP(F50,VLookup!$A$2:$B$6,2,"FALSE"),"")</f>
        <v>3</v>
      </c>
      <c r="AB50" s="101">
        <f>IF(ISTEXT(G50),VLOOKUP(G50,VLookup!$A$13:$B$17,2,"False"),"")</f>
        <v>4</v>
      </c>
      <c r="AC50" s="101">
        <f t="shared" si="0"/>
        <v>12</v>
      </c>
      <c r="AD50" s="101"/>
      <c r="AE50" s="101"/>
      <c r="AF50" s="101"/>
      <c r="AG50" s="101"/>
      <c r="AH50" s="101"/>
      <c r="AI50" s="101" t="str">
        <f>IF(ISTEXT(#REF!),VLOOKUP(#REF!,VLookup!$A$2:$B$6,2,"FALSE"),"")</f>
        <v/>
      </c>
      <c r="AJ50" s="101" t="str">
        <f>IF(ISTEXT(#REF!),VLOOKUP(#REF!,VLookup!$A$13:$B$17,2,"False"),"")</f>
        <v/>
      </c>
      <c r="AK50" s="101" t="str">
        <f>IF(AND(ISTEXT(#REF!),ISTEXT(#REF!)),(AI50*AJ50),"")</f>
        <v/>
      </c>
    </row>
    <row r="51" spans="1:37" ht="31.5" customHeight="1">
      <c r="A51" s="3"/>
      <c r="B51" s="161"/>
      <c r="C51" s="146" t="s">
        <v>223</v>
      </c>
      <c r="D51" s="146" t="s">
        <v>222</v>
      </c>
      <c r="E51" s="146" t="s">
        <v>224</v>
      </c>
      <c r="F51" s="149" t="s">
        <v>31</v>
      </c>
      <c r="G51" s="150" t="s">
        <v>11</v>
      </c>
      <c r="H51" s="158" t="str">
        <f>IF(ISNUMBER(AC51),VLOOKUP(AC51,VLookup!$A$23:$B$47,2,FALSE),"")</f>
        <v>Moderate</v>
      </c>
      <c r="AA51" s="101">
        <f>IF(ISTEXT(F51),VLOOKUP(F51,VLookup!$A$2:$B$6,2,"FALSE"),"")</f>
        <v>3</v>
      </c>
      <c r="AB51" s="101">
        <f>IF(ISTEXT(G51),VLOOKUP(G51,VLookup!$A$13:$B$17,2,"False"),"")</f>
        <v>4</v>
      </c>
      <c r="AC51" s="101">
        <f t="shared" si="0"/>
        <v>12</v>
      </c>
      <c r="AD51" s="101"/>
      <c r="AE51" s="101"/>
      <c r="AF51" s="101"/>
      <c r="AG51" s="101"/>
      <c r="AH51" s="101"/>
      <c r="AI51" s="101" t="str">
        <f>IF(ISTEXT(#REF!),VLOOKUP(#REF!,VLookup!$A$2:$B$6,2,"FALSE"),"")</f>
        <v/>
      </c>
      <c r="AJ51" s="101" t="str">
        <f>IF(ISTEXT(#REF!),VLOOKUP(#REF!,VLookup!$A$13:$B$17,2,"False"),"")</f>
        <v/>
      </c>
      <c r="AK51" s="101" t="str">
        <f>IF(AND(ISTEXT(#REF!),ISTEXT(#REF!)),(AI51*AJ51),"")</f>
        <v/>
      </c>
    </row>
    <row r="52" spans="1:37" ht="31.5" customHeight="1" thickBot="1">
      <c r="A52" s="3"/>
      <c r="B52" s="162"/>
      <c r="C52" s="148" t="s">
        <v>226</v>
      </c>
      <c r="D52" s="146" t="s">
        <v>225</v>
      </c>
      <c r="E52" s="146" t="s">
        <v>227</v>
      </c>
      <c r="F52" s="149" t="s">
        <v>31</v>
      </c>
      <c r="G52" s="150" t="s">
        <v>11</v>
      </c>
      <c r="H52" s="158" t="str">
        <f>IF(ISNUMBER(AC52),VLOOKUP(AC52,VLookup!$A$23:$B$47,2,FALSE),"")</f>
        <v>Moderate</v>
      </c>
      <c r="AA52" s="101">
        <f>IF(ISTEXT(F52),VLOOKUP(F52,VLookup!$A$2:$B$6,2,"FALSE"),"")</f>
        <v>3</v>
      </c>
      <c r="AB52" s="101">
        <f>IF(ISTEXT(G52),VLOOKUP(G52,VLookup!$A$13:$B$17,2,"False"),"")</f>
        <v>4</v>
      </c>
      <c r="AC52" s="101">
        <f t="shared" si="0"/>
        <v>12</v>
      </c>
      <c r="AD52" s="101"/>
      <c r="AE52" s="101"/>
      <c r="AF52" s="101"/>
      <c r="AG52" s="101"/>
      <c r="AH52" s="101"/>
      <c r="AI52" s="101" t="str">
        <f>IF(ISTEXT(#REF!),VLOOKUP(#REF!,VLookup!$A$2:$B$6,2,"FALSE"),"")</f>
        <v/>
      </c>
      <c r="AJ52" s="101" t="str">
        <f>IF(ISTEXT(#REF!),VLOOKUP(#REF!,VLookup!$A$13:$B$17,2,"False"),"")</f>
        <v/>
      </c>
      <c r="AK52" s="101" t="str">
        <f>IF(AND(ISTEXT(#REF!),ISTEXT(#REF!)),(AI52*AJ52),"")</f>
        <v/>
      </c>
    </row>
    <row r="53" spans="1:37" ht="18.3">
      <c r="A53" s="3"/>
      <c r="B53" s="1"/>
      <c r="C53" s="106"/>
      <c r="D53" s="106"/>
      <c r="E53" s="106"/>
      <c r="F53" s="7"/>
      <c r="AA53" t="str">
        <f>IF(ISTEXT(F53),VLOOKUP(F53,VLookup!$A$2:$B$6,2,"FALSE"),"")</f>
        <v/>
      </c>
      <c r="AB53" t="str">
        <f>IF(ISTEXT(G53),VLOOKUP(G53,VLookup!$A$13:$B$17,2,"False"),"")</f>
        <v/>
      </c>
    </row>
    <row r="54" spans="1:37" ht="18.3">
      <c r="A54" s="8"/>
      <c r="B54" s="53" t="str">
        <f>IF(A54=1,IF(#REF!&lt;43,"Please complete the mandatory questions - " &amp;#REF!,""),"")</f>
        <v/>
      </c>
      <c r="C54" s="106"/>
      <c r="D54" s="106"/>
      <c r="E54" s="106"/>
      <c r="F54" s="54"/>
    </row>
    <row r="55" spans="1:37" ht="18.3">
      <c r="A55" s="3"/>
      <c r="B55" s="54"/>
      <c r="C55" s="106"/>
      <c r="D55" s="106"/>
      <c r="E55" s="106"/>
      <c r="F55" s="54"/>
    </row>
    <row r="56" spans="1:37" ht="18.3">
      <c r="A56" s="3"/>
      <c r="B56" s="54"/>
      <c r="C56" s="106"/>
      <c r="D56" s="106"/>
      <c r="E56" s="106"/>
      <c r="F56" s="54"/>
    </row>
    <row r="57" spans="1:37" ht="18.75" customHeight="1">
      <c r="C57" s="106"/>
      <c r="D57" s="106"/>
      <c r="E57" s="106"/>
    </row>
    <row r="58" spans="1:37">
      <c r="C58" s="106"/>
      <c r="D58" s="106"/>
      <c r="E58" s="106"/>
    </row>
    <row r="59" spans="1:37">
      <c r="C59" s="106"/>
      <c r="D59" s="106"/>
      <c r="E59" s="106"/>
    </row>
    <row r="60" spans="1:37">
      <c r="C60" s="106"/>
      <c r="D60" s="106"/>
      <c r="E60" s="106"/>
    </row>
    <row r="61" spans="1:37">
      <c r="C61" s="106"/>
      <c r="D61" s="106"/>
      <c r="E61" s="106"/>
    </row>
    <row r="62" spans="1:37">
      <c r="D62" s="106"/>
    </row>
    <row r="63" spans="1:37">
      <c r="D63" s="106"/>
    </row>
  </sheetData>
  <mergeCells count="5">
    <mergeCell ref="B47:B52"/>
    <mergeCell ref="B6:E6"/>
    <mergeCell ref="B8:B17"/>
    <mergeCell ref="B19:B26"/>
    <mergeCell ref="B28:B45"/>
  </mergeCells>
  <conditionalFormatting sqref="F18">
    <cfRule type="cellIs" dxfId="609" priority="373" operator="equal">
      <formula>"Medium Tolerance"</formula>
    </cfRule>
    <cfRule type="cellIs" dxfId="608" priority="374" operator="equal">
      <formula>"Limited Tolerance"</formula>
    </cfRule>
  </conditionalFormatting>
  <conditionalFormatting sqref="F18">
    <cfRule type="cellIs" dxfId="607" priority="372" operator="equal">
      <formula>"No Tolerance"</formula>
    </cfRule>
  </conditionalFormatting>
  <conditionalFormatting sqref="G54">
    <cfRule type="containsText" dxfId="606" priority="371" operator="containsText" text="Reconsider Tolerance">
      <formula>NOT(ISERROR(SEARCH("Reconsider Tolerance",G54)))</formula>
    </cfRule>
  </conditionalFormatting>
  <conditionalFormatting sqref="F18">
    <cfRule type="cellIs" dxfId="605" priority="369" operator="equal">
      <formula>"Maximum Tolerance"</formula>
    </cfRule>
    <cfRule type="cellIs" dxfId="604" priority="370" operator="equal">
      <formula>"Good Tolerance"</formula>
    </cfRule>
  </conditionalFormatting>
  <conditionalFormatting sqref="G18">
    <cfRule type="cellIs" dxfId="603" priority="365" operator="equal">
      <formula>5</formula>
    </cfRule>
    <cfRule type="cellIs" dxfId="602" priority="366" operator="equal">
      <formula>4</formula>
    </cfRule>
    <cfRule type="cellIs" dxfId="601" priority="367" operator="equal">
      <formula>3</formula>
    </cfRule>
    <cfRule type="cellIs" dxfId="600" priority="368" operator="equal">
      <formula>2</formula>
    </cfRule>
  </conditionalFormatting>
  <conditionalFormatting sqref="G18">
    <cfRule type="cellIs" dxfId="599" priority="364" operator="equal">
      <formula>1</formula>
    </cfRule>
  </conditionalFormatting>
  <conditionalFormatting sqref="F8">
    <cfRule type="cellIs" dxfId="598" priority="362" operator="equal">
      <formula>"Medium Tolerance"</formula>
    </cfRule>
    <cfRule type="cellIs" dxfId="597" priority="363" operator="equal">
      <formula>"Limited Tolerance"</formula>
    </cfRule>
  </conditionalFormatting>
  <conditionalFormatting sqref="F8">
    <cfRule type="cellIs" dxfId="596" priority="361" operator="equal">
      <formula>"No Tolerance"</formula>
    </cfRule>
  </conditionalFormatting>
  <conditionalFormatting sqref="F8">
    <cfRule type="cellIs" dxfId="595" priority="359" operator="equal">
      <formula>"Maximum Tolerance"</formula>
    </cfRule>
    <cfRule type="cellIs" dxfId="594" priority="360" operator="equal">
      <formula>"Good Tolerance"</formula>
    </cfRule>
  </conditionalFormatting>
  <conditionalFormatting sqref="G8">
    <cfRule type="cellIs" dxfId="593" priority="355" operator="equal">
      <formula>5</formula>
    </cfRule>
    <cfRule type="cellIs" dxfId="592" priority="356" operator="equal">
      <formula>4</formula>
    </cfRule>
    <cfRule type="cellIs" dxfId="591" priority="357" operator="equal">
      <formula>3</formula>
    </cfRule>
    <cfRule type="cellIs" dxfId="590" priority="358" operator="equal">
      <formula>2</formula>
    </cfRule>
  </conditionalFormatting>
  <conditionalFormatting sqref="G8">
    <cfRule type="cellIs" dxfId="589" priority="354" operator="equal">
      <formula>1</formula>
    </cfRule>
  </conditionalFormatting>
  <conditionalFormatting sqref="F9:F17">
    <cfRule type="cellIs" dxfId="588" priority="89" operator="equal">
      <formula>"Medium Tolerance"</formula>
    </cfRule>
    <cfRule type="cellIs" dxfId="587" priority="90" operator="equal">
      <formula>"Limited Tolerance"</formula>
    </cfRule>
  </conditionalFormatting>
  <conditionalFormatting sqref="F9:F17">
    <cfRule type="cellIs" dxfId="586" priority="88" operator="equal">
      <formula>"No Tolerance"</formula>
    </cfRule>
  </conditionalFormatting>
  <conditionalFormatting sqref="F9:F17">
    <cfRule type="cellIs" dxfId="585" priority="86" operator="equal">
      <formula>"Maximum Tolerance"</formula>
    </cfRule>
    <cfRule type="cellIs" dxfId="584" priority="87" operator="equal">
      <formula>"Good Tolerance"</formula>
    </cfRule>
  </conditionalFormatting>
  <conditionalFormatting sqref="G9:G17">
    <cfRule type="cellIs" dxfId="583" priority="82" operator="equal">
      <formula>5</formula>
    </cfRule>
    <cfRule type="cellIs" dxfId="582" priority="83" operator="equal">
      <formula>4</formula>
    </cfRule>
    <cfRule type="cellIs" dxfId="581" priority="84" operator="equal">
      <formula>3</formula>
    </cfRule>
    <cfRule type="cellIs" dxfId="580" priority="85" operator="equal">
      <formula>2</formula>
    </cfRule>
  </conditionalFormatting>
  <conditionalFormatting sqref="G9:G17">
    <cfRule type="cellIs" dxfId="579" priority="81" operator="equal">
      <formula>1</formula>
    </cfRule>
  </conditionalFormatting>
  <conditionalFormatting sqref="H8:H52">
    <cfRule type="beginsWith" dxfId="578" priority="61" operator="beginsWith" text="Low">
      <formula>LEFT(H8,LEN("Low"))="Low"</formula>
    </cfRule>
    <cfRule type="beginsWith" dxfId="577" priority="62" operator="beginsWith" text="Very low">
      <formula>LEFT(H8,LEN("Very low"))="Very low"</formula>
    </cfRule>
    <cfRule type="beginsWith" dxfId="576" priority="63" operator="beginsWith" text="Very high">
      <formula>LEFT(H8,LEN("Very high"))="Very high"</formula>
    </cfRule>
    <cfRule type="beginsWith" dxfId="575" priority="64" operator="beginsWith" text="High">
      <formula>LEFT(H8,LEN("High"))="High"</formula>
    </cfRule>
    <cfRule type="beginsWith" dxfId="574" priority="65" operator="beginsWith" text="Moderate">
      <formula>LEFT(H8,LEN("Moderate"))="Moderate"</formula>
    </cfRule>
  </conditionalFormatting>
  <conditionalFormatting sqref="F19 F29 F39 F49">
    <cfRule type="cellIs" dxfId="573" priority="19" operator="equal">
      <formula>"Medium Tolerance"</formula>
    </cfRule>
    <cfRule type="cellIs" dxfId="572" priority="20" operator="equal">
      <formula>"Limited Tolerance"</formula>
    </cfRule>
  </conditionalFormatting>
  <conditionalFormatting sqref="F19 F29 F39 F49">
    <cfRule type="cellIs" dxfId="571" priority="18" operator="equal">
      <formula>"No Tolerance"</formula>
    </cfRule>
  </conditionalFormatting>
  <conditionalFormatting sqref="F19 F29 F39 F49">
    <cfRule type="cellIs" dxfId="570" priority="16" operator="equal">
      <formula>"Maximum Tolerance"</formula>
    </cfRule>
    <cfRule type="cellIs" dxfId="569" priority="17" operator="equal">
      <formula>"Good Tolerance"</formula>
    </cfRule>
  </conditionalFormatting>
  <conditionalFormatting sqref="G19 G29 G39 G49">
    <cfRule type="cellIs" dxfId="568" priority="12" operator="equal">
      <formula>5</formula>
    </cfRule>
    <cfRule type="cellIs" dxfId="567" priority="13" operator="equal">
      <formula>4</formula>
    </cfRule>
    <cfRule type="cellIs" dxfId="566" priority="14" operator="equal">
      <formula>3</formula>
    </cfRule>
    <cfRule type="cellIs" dxfId="565" priority="15" operator="equal">
      <formula>2</formula>
    </cfRule>
  </conditionalFormatting>
  <conditionalFormatting sqref="G19 G29 G39 G49">
    <cfRule type="cellIs" dxfId="564" priority="11" operator="equal">
      <formula>1</formula>
    </cfRule>
  </conditionalFormatting>
  <conditionalFormatting sqref="F20:F28 F30:F38 F40:F48 F50:F52">
    <cfRule type="cellIs" dxfId="563" priority="9" operator="equal">
      <formula>"Medium Tolerance"</formula>
    </cfRule>
    <cfRule type="cellIs" dxfId="562" priority="10" operator="equal">
      <formula>"Limited Tolerance"</formula>
    </cfRule>
  </conditionalFormatting>
  <conditionalFormatting sqref="F20:F28 F30:F38 F40:F48 F50:F52">
    <cfRule type="cellIs" dxfId="561" priority="8" operator="equal">
      <formula>"No Tolerance"</formula>
    </cfRule>
  </conditionalFormatting>
  <conditionalFormatting sqref="F20:F28 F30:F38 F40:F48 F50:F52">
    <cfRule type="cellIs" dxfId="560" priority="6" operator="equal">
      <formula>"Maximum Tolerance"</formula>
    </cfRule>
    <cfRule type="cellIs" dxfId="559" priority="7" operator="equal">
      <formula>"Good Tolerance"</formula>
    </cfRule>
  </conditionalFormatting>
  <conditionalFormatting sqref="G20:G28 G30:G38 G40:G48 G50:G52">
    <cfRule type="cellIs" dxfId="558" priority="2" operator="equal">
      <formula>5</formula>
    </cfRule>
    <cfRule type="cellIs" dxfId="557" priority="3" operator="equal">
      <formula>4</formula>
    </cfRule>
    <cfRule type="cellIs" dxfId="556" priority="4" operator="equal">
      <formula>3</formula>
    </cfRule>
    <cfRule type="cellIs" dxfId="555" priority="5" operator="equal">
      <formula>2</formula>
    </cfRule>
  </conditionalFormatting>
  <conditionalFormatting sqref="G20:G28 G30:G38 G40:G48 G50:G52">
    <cfRule type="cellIs" dxfId="554" priority="1" operator="equal">
      <formula>1</formula>
    </cfRule>
  </conditionalFormatting>
  <dataValidations count="2">
    <dataValidation type="list" allowBlank="1" showInputMessage="1" showErrorMessage="1" promptTitle="Tolerance Level" prompt="Please choose Tolerance Level from the drop-down list" sqref="F18" xr:uid="{00000000-0002-0000-0300-000001000000}">
      <formula1>$C$5:$C$9</formula1>
    </dataValidation>
    <dataValidation type="list" allowBlank="1" showInputMessage="1" showErrorMessage="1" sqref="G18" xr:uid="{00000000-0002-0000-0300-000003000000}">
      <formula1>$B$9:$B$13</formula1>
    </dataValidation>
  </dataValidations>
  <pageMargins left="0.70866141732283472" right="0.70866141732283472" top="0.74803149606299213" bottom="0.74803149606299213" header="0.31496062992125984" footer="0.31496062992125984"/>
  <pageSetup paperSize="9" scale="41"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promptTitle="Risk Impact selection" prompt="Please select risk Impact from drop-down list" xr:uid="{00000000-0002-0000-0300-000004000000}">
          <x14:formula1>
            <xm:f>'Impact Definition'!$C$9:$C$13</xm:f>
          </x14:formula1>
          <xm:sqref>G8:G17 G19:G52</xm:sqref>
        </x14:dataValidation>
        <x14:dataValidation type="list" allowBlank="1" showInputMessage="1" showErrorMessage="1" promptTitle="Likelihood level selection" prompt="Please choose Likelihood Level from the drop-down list" xr:uid="{00000000-0002-0000-0300-000005000000}">
          <x14:formula1>
            <xm:f>'Risk Likelihood'!$C$7:$C$11</xm:f>
          </x14:formula1>
          <xm:sqref>F19:F52</xm:sqref>
        </x14:dataValidation>
        <x14:dataValidation type="list" allowBlank="1" showInputMessage="1" showErrorMessage="1" promptTitle="Likelihood Level selection" prompt="Please choose Likelihood Level from the drop-down list" xr:uid="{00000000-0002-0000-0300-000006000000}">
          <x14:formula1>
            <xm:f>'Risk Likelihood'!$C$7:$C$11</xm:f>
          </x14:formula1>
          <xm:sqref>F8:F17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rgb="FFFF0000"/>
    <pageSetUpPr fitToPage="1"/>
  </sheetPr>
  <dimension ref="A1:AF56"/>
  <sheetViews>
    <sheetView showGridLines="0" zoomScale="85" zoomScaleNormal="85" workbookViewId="0">
      <selection activeCell="K7" sqref="K7"/>
    </sheetView>
  </sheetViews>
  <sheetFormatPr defaultRowHeight="12.3"/>
  <cols>
    <col min="1" max="1" width="1.71875" customWidth="1"/>
    <col min="2" max="2" width="14.1640625" customWidth="1"/>
    <col min="3" max="3" width="48.71875" customWidth="1"/>
    <col min="4" max="4" width="102.1640625" customWidth="1"/>
    <col min="5" max="6" width="13" customWidth="1"/>
    <col min="7" max="7" width="10.71875" customWidth="1"/>
    <col min="9" max="9" width="48.27734375" customWidth="1"/>
    <col min="10" max="10" width="13.71875" customWidth="1"/>
    <col min="11" max="11" width="12.5546875" customWidth="1"/>
    <col min="12" max="12" width="9.83203125" customWidth="1"/>
    <col min="13" max="14" width="19.71875" customWidth="1"/>
    <col min="15" max="15" width="6.1640625" customWidth="1"/>
    <col min="16" max="16" width="24.1640625" customWidth="1"/>
    <col min="18" max="22" width="9.1640625" customWidth="1"/>
    <col min="23" max="23" width="58.5546875" customWidth="1"/>
  </cols>
  <sheetData>
    <row r="1" spans="1:32" ht="16.5" customHeight="1"/>
    <row r="2" spans="1:32" ht="109.5" customHeight="1"/>
    <row r="3" spans="1:32" ht="35.700000000000003">
      <c r="B3" s="102" t="s">
        <v>94</v>
      </c>
      <c r="C3" s="4"/>
      <c r="D3" s="4"/>
      <c r="E3" s="4"/>
      <c r="F3" s="5"/>
      <c r="G3" s="5"/>
      <c r="H3" s="5"/>
      <c r="I3" s="5"/>
      <c r="J3" s="4"/>
      <c r="K3" s="5"/>
      <c r="L3" s="5"/>
      <c r="M3" s="5"/>
      <c r="N3" s="5"/>
      <c r="O3" s="5"/>
      <c r="P3" s="5"/>
    </row>
    <row r="4" spans="1:32" ht="29.25" customHeight="1">
      <c r="B4" s="96"/>
      <c r="C4" s="97"/>
      <c r="D4" s="97"/>
      <c r="E4" s="97"/>
      <c r="F4" s="98"/>
      <c r="G4" s="98"/>
      <c r="H4" s="98"/>
      <c r="I4" s="98"/>
      <c r="J4" s="97"/>
      <c r="K4" s="98"/>
      <c r="L4" s="98"/>
      <c r="M4" s="98"/>
      <c r="N4" s="98"/>
      <c r="O4" s="98"/>
      <c r="P4" s="98"/>
      <c r="Y4" s="112" t="s">
        <v>87</v>
      </c>
    </row>
    <row r="5" spans="1:32" ht="31.2" thickBot="1">
      <c r="A5" s="3"/>
      <c r="B5" s="136" t="s">
        <v>86</v>
      </c>
      <c r="C5" s="137"/>
      <c r="D5" s="137"/>
      <c r="E5" s="94"/>
      <c r="F5" s="95"/>
      <c r="G5" s="95"/>
      <c r="I5" s="136" t="s">
        <v>44</v>
      </c>
      <c r="J5" s="137"/>
      <c r="K5" s="137"/>
      <c r="M5" s="136" t="s">
        <v>46</v>
      </c>
      <c r="N5" s="137"/>
      <c r="O5" s="99"/>
      <c r="P5" s="93" t="s">
        <v>85</v>
      </c>
      <c r="Y5" s="141" t="s">
        <v>92</v>
      </c>
      <c r="Z5" s="141"/>
      <c r="AA5" s="141"/>
      <c r="AC5" s="141" t="s">
        <v>93</v>
      </c>
      <c r="AD5" s="141"/>
      <c r="AE5" s="141"/>
    </row>
    <row r="6" spans="1:32" ht="36.9" thickBot="1">
      <c r="A6" s="3"/>
      <c r="B6" s="9"/>
      <c r="C6" s="92" t="s">
        <v>43</v>
      </c>
      <c r="D6" s="92" t="s">
        <v>1</v>
      </c>
      <c r="E6" s="55" t="s">
        <v>42</v>
      </c>
      <c r="F6" s="55" t="s">
        <v>41</v>
      </c>
      <c r="G6" s="87" t="s">
        <v>83</v>
      </c>
      <c r="I6" s="92" t="s">
        <v>45</v>
      </c>
      <c r="J6" s="55" t="s">
        <v>42</v>
      </c>
      <c r="K6" s="55" t="s">
        <v>41</v>
      </c>
      <c r="L6" s="100"/>
      <c r="M6" s="55" t="s">
        <v>42</v>
      </c>
      <c r="N6" s="55" t="s">
        <v>41</v>
      </c>
      <c r="O6" s="99"/>
      <c r="P6" s="55" t="s">
        <v>84</v>
      </c>
      <c r="Y6" s="107" t="s">
        <v>89</v>
      </c>
      <c r="Z6" s="107" t="s">
        <v>90</v>
      </c>
      <c r="AA6" s="110" t="s">
        <v>91</v>
      </c>
      <c r="AB6" s="107"/>
      <c r="AC6" s="107" t="s">
        <v>89</v>
      </c>
      <c r="AD6" s="107" t="s">
        <v>90</v>
      </c>
      <c r="AE6" s="110" t="s">
        <v>91</v>
      </c>
    </row>
    <row r="7" spans="1:32" ht="57.6" thickTop="1" thickBot="1">
      <c r="A7" s="3"/>
      <c r="B7" s="138" t="s">
        <v>208</v>
      </c>
      <c r="C7" s="146" t="s">
        <v>179</v>
      </c>
      <c r="D7" s="146" t="s">
        <v>207</v>
      </c>
      <c r="E7" s="62" t="s">
        <v>31</v>
      </c>
      <c r="F7" s="88" t="s">
        <v>11</v>
      </c>
      <c r="G7" s="91" t="str">
        <f>IF(ISNUMBER(AA7),VLOOKUP(AA7,VLookup!$A$23:$B$47,2,FALSE),"")</f>
        <v>Moderate</v>
      </c>
      <c r="I7" s="145" t="s">
        <v>228</v>
      </c>
      <c r="J7" s="62" t="s">
        <v>28</v>
      </c>
      <c r="K7" s="73" t="s">
        <v>11</v>
      </c>
      <c r="L7" s="59"/>
      <c r="M7" s="108" t="str">
        <f>IF(ISBLANK(J7),IF(ISBLANK(E7),"",E7),J7)</f>
        <v>Highly Likely</v>
      </c>
      <c r="N7" s="109" t="str">
        <f>IF(ISBLANK(K7),IF(ISBLANK(F7),"",F7),K7)</f>
        <v>Severe</v>
      </c>
      <c r="P7" s="91" t="str">
        <f>IF(ISNUMBER(AE7),VLOOKUP(AE7,VLookup!$A$23:$B$47,2,FALSE),"")</f>
        <v>High</v>
      </c>
      <c r="Y7" s="101">
        <f>IF(ISTEXT(E7),VLOOKUP(E7,VLookup!$A$2:$B$6,2,"FALSE"),"")</f>
        <v>3</v>
      </c>
      <c r="Z7" s="101">
        <f>IF(ISTEXT(F7),VLOOKUP(F7,VLookup!$A$13:$B$17,2,"False"),"")</f>
        <v>4</v>
      </c>
      <c r="AA7" s="101">
        <f>IF(AND(ISTEXT(M7),ISTEXT(N7)),(Y7*Z7),"")</f>
        <v>12</v>
      </c>
      <c r="AB7" s="101"/>
      <c r="AC7" s="101">
        <f>IF(ISTEXT(M7),VLOOKUP(M7,VLookup!$A$2:$B$6,2,"FALSE"),"")</f>
        <v>4</v>
      </c>
      <c r="AD7" s="101">
        <f>IF(ISTEXT(N7),VLOOKUP(N7,VLookup!$A$13:$B$17,2,"False"),"")</f>
        <v>4</v>
      </c>
      <c r="AE7" s="101">
        <f>IF(AND(ISTEXT(M7),ISTEXT(N7)),(AC7*AD7),"")</f>
        <v>16</v>
      </c>
      <c r="AF7" s="101"/>
    </row>
    <row r="8" spans="1:32" ht="57.6" thickTop="1" thickBot="1">
      <c r="A8" s="3"/>
      <c r="B8" s="139"/>
      <c r="C8" s="148" t="s">
        <v>182</v>
      </c>
      <c r="D8" s="146" t="s">
        <v>181</v>
      </c>
      <c r="E8" s="58" t="s">
        <v>31</v>
      </c>
      <c r="F8" s="89" t="s">
        <v>9</v>
      </c>
      <c r="G8" s="91" t="str">
        <f>IF(ISNUMBER(AA8),VLOOKUP(AA8,VLookup!$A$23:$B$47,2,FALSE),"")</f>
        <v>Moderate</v>
      </c>
      <c r="I8" s="145" t="s">
        <v>229</v>
      </c>
      <c r="J8" s="58"/>
      <c r="K8" s="74"/>
      <c r="L8" s="59"/>
      <c r="M8" s="69" t="str">
        <f>IF(ISBLANK(J8),IF(ISBLANK(E8),"",E8),J8)</f>
        <v>Likely</v>
      </c>
      <c r="N8" s="70" t="str">
        <f>IF(ISBLANK(K8),IF(ISBLANK(F8),"",F8),K8)</f>
        <v>Catastrophic</v>
      </c>
      <c r="P8" s="91" t="str">
        <f>IF(ISNUMBER(AE8),VLOOKUP(AE8,VLookup!$A$23:$B$47,2,FALSE),"")</f>
        <v>Moderate</v>
      </c>
      <c r="Y8" s="101">
        <f>IF(ISTEXT(E8),VLOOKUP(E8,VLookup!$A$2:$B$6,2,"FALSE"),"")</f>
        <v>3</v>
      </c>
      <c r="Z8" s="101">
        <f>IF(ISTEXT(F8),VLOOKUP(F8,VLookup!$A$13:$B$17,2,"False"),"")</f>
        <v>5</v>
      </c>
      <c r="AA8" s="101">
        <f t="shared" ref="AA8:AA51" si="0">IF(AND(ISTEXT(E8),ISTEXT(F8)),(Y8*Z8),"")</f>
        <v>15</v>
      </c>
      <c r="AB8" s="101"/>
      <c r="AC8" s="101">
        <f>IF(ISTEXT(M8),VLOOKUP(M8,VLookup!$A$2:$B$6,2,"FALSE"),"")</f>
        <v>3</v>
      </c>
      <c r="AD8" s="101">
        <f>IF(ISTEXT(N8),VLOOKUP(N8,VLookup!$A$13:$B$17,2,"False"),"")</f>
        <v>5</v>
      </c>
      <c r="AE8" s="101">
        <f t="shared" ref="AE8:AE51" si="1">IF(AND(ISTEXT(M8),ISTEXT(N8)),(AC8*AD8),"")</f>
        <v>15</v>
      </c>
      <c r="AF8" s="101"/>
    </row>
    <row r="9" spans="1:32" ht="50.4" customHeight="1" thickTop="1" thickBot="1">
      <c r="A9" s="3"/>
      <c r="B9" s="139"/>
      <c r="C9" s="148" t="s">
        <v>182</v>
      </c>
      <c r="D9" s="148" t="s">
        <v>184</v>
      </c>
      <c r="E9" s="58" t="s">
        <v>31</v>
      </c>
      <c r="F9" s="89" t="s">
        <v>13</v>
      </c>
      <c r="G9" s="91" t="str">
        <f>IF(ISNUMBER(AA9),VLOOKUP(AA9,VLookup!$A$23:$B$47,2,FALSE),"")</f>
        <v>Low</v>
      </c>
      <c r="I9" s="147" t="s">
        <v>230</v>
      </c>
      <c r="J9" s="58"/>
      <c r="K9" s="74"/>
      <c r="L9" s="59"/>
      <c r="M9" s="69" t="str">
        <f t="shared" ref="M9:M16" si="2">IF(ISBLANK(J9),IF(ISBLANK(E9),"",E9),J9)</f>
        <v>Likely</v>
      </c>
      <c r="N9" s="70" t="str">
        <f t="shared" ref="N9:N16" si="3">IF(ISBLANK(K9),IF(ISBLANK(F9),"",F9),K9)</f>
        <v>Serious</v>
      </c>
      <c r="P9" s="91" t="str">
        <f>IF(ISNUMBER(AE9),VLOOKUP(AE9,VLookup!$A$23:$B$47,2,FALSE),"")</f>
        <v>Low</v>
      </c>
      <c r="Y9" s="101">
        <f>IF(ISTEXT(E9),VLOOKUP(E9,VLookup!$A$2:$B$6,2,"FALSE"),"")</f>
        <v>3</v>
      </c>
      <c r="Z9" s="101">
        <f>IF(ISTEXT(F9),VLOOKUP(F9,VLookup!$A$13:$B$17,2,"False"),"")</f>
        <v>3</v>
      </c>
      <c r="AA9" s="101">
        <f t="shared" si="0"/>
        <v>9</v>
      </c>
      <c r="AB9" s="101"/>
      <c r="AC9" s="101">
        <f>IF(ISTEXT(M9),VLOOKUP(M9,VLookup!$A$2:$B$6,2,"FALSE"),"")</f>
        <v>3</v>
      </c>
      <c r="AD9" s="101">
        <f>IF(ISTEXT(N9),VLOOKUP(N9,VLookup!$A$13:$B$17,2,"False"),"")</f>
        <v>3</v>
      </c>
      <c r="AE9" s="101">
        <f t="shared" si="1"/>
        <v>9</v>
      </c>
      <c r="AF9" s="101"/>
    </row>
    <row r="10" spans="1:32" ht="47.4" thickTop="1" thickBot="1">
      <c r="A10" s="3"/>
      <c r="B10" s="139"/>
      <c r="C10" s="146" t="s">
        <v>187</v>
      </c>
      <c r="D10" s="148" t="s">
        <v>186</v>
      </c>
      <c r="E10" s="58" t="s">
        <v>35</v>
      </c>
      <c r="F10" s="89" t="s">
        <v>11</v>
      </c>
      <c r="G10" s="91" t="str">
        <f>IF(ISNUMBER(AA10),VLOOKUP(AA10,VLookup!$A$23:$B$47,2,FALSE),"")</f>
        <v>Low</v>
      </c>
      <c r="I10" s="147" t="s">
        <v>231</v>
      </c>
      <c r="J10" s="58"/>
      <c r="K10" s="74"/>
      <c r="L10" s="59"/>
      <c r="M10" s="69" t="str">
        <f t="shared" si="2"/>
        <v>Not Likely</v>
      </c>
      <c r="N10" s="70" t="str">
        <f t="shared" si="3"/>
        <v>Severe</v>
      </c>
      <c r="P10" s="91" t="str">
        <f>IF(ISNUMBER(AE10),VLOOKUP(AE10,VLookup!$A$23:$B$47,2,FALSE),"")</f>
        <v>Low</v>
      </c>
      <c r="Y10" s="101">
        <f>IF(ISTEXT(E10),VLOOKUP(E10,VLookup!$A$2:$B$6,2,"FALSE"),"")</f>
        <v>2</v>
      </c>
      <c r="Z10" s="101">
        <f>IF(ISTEXT(F10),VLOOKUP(F10,VLookup!$A$13:$B$17,2,"False"),"")</f>
        <v>4</v>
      </c>
      <c r="AA10" s="101">
        <f t="shared" si="0"/>
        <v>8</v>
      </c>
      <c r="AB10" s="101"/>
      <c r="AC10" s="101">
        <f>IF(ISTEXT(M10),VLOOKUP(M10,VLookup!$A$2:$B$6,2,"FALSE"),"")</f>
        <v>2</v>
      </c>
      <c r="AD10" s="101">
        <f>IF(ISTEXT(N10),VLOOKUP(N10,VLookup!$A$13:$B$17,2,"False"),"")</f>
        <v>4</v>
      </c>
      <c r="AE10" s="101">
        <f t="shared" si="1"/>
        <v>8</v>
      </c>
      <c r="AF10" s="101"/>
    </row>
    <row r="11" spans="1:32" ht="46.2" thickTop="1" thickBot="1">
      <c r="A11" s="3"/>
      <c r="B11" s="139"/>
      <c r="C11" s="146" t="s">
        <v>190</v>
      </c>
      <c r="D11" s="146" t="s">
        <v>189</v>
      </c>
      <c r="E11" s="58" t="s">
        <v>31</v>
      </c>
      <c r="F11" s="89" t="s">
        <v>16</v>
      </c>
      <c r="G11" s="91" t="str">
        <f>IF(ISNUMBER(AA11),VLOOKUP(AA11,VLookup!$A$23:$B$47,2,FALSE),"")</f>
        <v>Low</v>
      </c>
      <c r="I11" s="145" t="s">
        <v>232</v>
      </c>
      <c r="J11" s="58"/>
      <c r="K11" s="74"/>
      <c r="L11" s="59"/>
      <c r="M11" s="69" t="str">
        <f t="shared" si="2"/>
        <v>Likely</v>
      </c>
      <c r="N11" s="70" t="str">
        <f t="shared" si="3"/>
        <v>Mild</v>
      </c>
      <c r="P11" s="91" t="str">
        <f>IF(ISNUMBER(AE11),VLOOKUP(AE11,VLookup!$A$23:$B$47,2,FALSE),"")</f>
        <v>Low</v>
      </c>
      <c r="Y11" s="101">
        <f>IF(ISTEXT(E11),VLOOKUP(E11,VLookup!$A$2:$B$6,2,"FALSE"),"")</f>
        <v>3</v>
      </c>
      <c r="Z11" s="101">
        <f>IF(ISTEXT(F11),VLOOKUP(F11,VLookup!$A$13:$B$17,2,"False"),"")</f>
        <v>2</v>
      </c>
      <c r="AA11" s="101">
        <f t="shared" si="0"/>
        <v>6</v>
      </c>
      <c r="AB11" s="101"/>
      <c r="AC11" s="101">
        <f>IF(ISTEXT(M11),VLOOKUP(M11,VLookup!$A$2:$B$6,2,"FALSE"),"")</f>
        <v>3</v>
      </c>
      <c r="AD11" s="101">
        <f>IF(ISTEXT(N11),VLOOKUP(N11,VLookup!$A$13:$B$17,2,"False"),"")</f>
        <v>2</v>
      </c>
      <c r="AE11" s="101">
        <f t="shared" si="1"/>
        <v>6</v>
      </c>
      <c r="AF11" s="101"/>
    </row>
    <row r="12" spans="1:32" ht="46.2" thickTop="1" thickBot="1">
      <c r="A12" s="3"/>
      <c r="B12" s="139"/>
      <c r="C12" s="148" t="s">
        <v>193</v>
      </c>
      <c r="D12" s="146" t="s">
        <v>192</v>
      </c>
      <c r="E12" s="58" t="s">
        <v>31</v>
      </c>
      <c r="F12" s="89" t="s">
        <v>9</v>
      </c>
      <c r="G12" s="91" t="str">
        <f>IF(ISNUMBER(AA12),VLOOKUP(AA12,VLookup!$A$23:$B$47,2,FALSE),"")</f>
        <v>Moderate</v>
      </c>
      <c r="I12" s="145" t="s">
        <v>233</v>
      </c>
      <c r="J12" s="58"/>
      <c r="K12" s="74"/>
      <c r="L12" s="59"/>
      <c r="M12" s="69" t="str">
        <f t="shared" si="2"/>
        <v>Likely</v>
      </c>
      <c r="N12" s="70" t="str">
        <f t="shared" si="3"/>
        <v>Catastrophic</v>
      </c>
      <c r="P12" s="91" t="str">
        <f>IF(ISNUMBER(AE12),VLOOKUP(AE12,VLookup!$A$23:$B$47,2,FALSE),"")</f>
        <v>Moderate</v>
      </c>
      <c r="Y12" s="101">
        <f>IF(ISTEXT(E12),VLOOKUP(E12,VLookup!$A$2:$B$6,2,"FALSE"),"")</f>
        <v>3</v>
      </c>
      <c r="Z12" s="101">
        <f>IF(ISTEXT(F12),VLOOKUP(F12,VLookup!$A$13:$B$17,2,"False"),"")</f>
        <v>5</v>
      </c>
      <c r="AA12" s="101">
        <f t="shared" si="0"/>
        <v>15</v>
      </c>
      <c r="AB12" s="101"/>
      <c r="AC12" s="101">
        <f>IF(ISTEXT(M12),VLOOKUP(M12,VLookup!$A$2:$B$6,2,"FALSE"),"")</f>
        <v>3</v>
      </c>
      <c r="AD12" s="101">
        <f>IF(ISTEXT(N12),VLOOKUP(N12,VLookup!$A$13:$B$17,2,"False"),"")</f>
        <v>5</v>
      </c>
      <c r="AE12" s="101">
        <f t="shared" si="1"/>
        <v>15</v>
      </c>
      <c r="AF12" s="101"/>
    </row>
    <row r="13" spans="1:32" ht="46.2" thickTop="1" thickBot="1">
      <c r="A13" s="3"/>
      <c r="B13" s="139"/>
      <c r="C13" s="146" t="s">
        <v>196</v>
      </c>
      <c r="D13" s="146" t="s">
        <v>195</v>
      </c>
      <c r="E13" s="58" t="s">
        <v>31</v>
      </c>
      <c r="F13" s="89" t="s">
        <v>13</v>
      </c>
      <c r="G13" s="91" t="str">
        <f>IF(ISNUMBER(AA13),VLOOKUP(AA13,VLookup!$A$23:$B$47,2,FALSE),"")</f>
        <v>Low</v>
      </c>
      <c r="I13" s="145" t="s">
        <v>234</v>
      </c>
      <c r="J13" s="58"/>
      <c r="K13" s="74"/>
      <c r="L13" s="59"/>
      <c r="M13" s="69" t="str">
        <f t="shared" si="2"/>
        <v>Likely</v>
      </c>
      <c r="N13" s="70" t="str">
        <f t="shared" si="3"/>
        <v>Serious</v>
      </c>
      <c r="P13" s="91" t="str">
        <f>IF(ISNUMBER(AE13),VLOOKUP(AE13,VLookup!$A$23:$B$47,2,FALSE),"")</f>
        <v>Low</v>
      </c>
      <c r="Y13" s="101">
        <f>IF(ISTEXT(E13),VLOOKUP(E13,VLookup!$A$2:$B$6,2,"FALSE"),"")</f>
        <v>3</v>
      </c>
      <c r="Z13" s="101">
        <f>IF(ISTEXT(F13),VLOOKUP(F13,VLookup!$A$13:$B$17,2,"False"),"")</f>
        <v>3</v>
      </c>
      <c r="AA13" s="101">
        <f t="shared" si="0"/>
        <v>9</v>
      </c>
      <c r="AB13" s="101"/>
      <c r="AC13" s="101">
        <f>IF(ISTEXT(M13),VLOOKUP(M13,VLookup!$A$2:$B$6,2,"FALSE"),"")</f>
        <v>3</v>
      </c>
      <c r="AD13" s="101">
        <f>IF(ISTEXT(N13),VLOOKUP(N13,VLookup!$A$13:$B$17,2,"False"),"")</f>
        <v>3</v>
      </c>
      <c r="AE13" s="101">
        <f t="shared" si="1"/>
        <v>9</v>
      </c>
      <c r="AF13" s="101"/>
    </row>
    <row r="14" spans="1:32" ht="47.4" thickTop="1" thickBot="1">
      <c r="A14" s="3"/>
      <c r="B14" s="139"/>
      <c r="C14" s="148" t="s">
        <v>199</v>
      </c>
      <c r="D14" s="148" t="s">
        <v>198</v>
      </c>
      <c r="E14" s="58" t="s">
        <v>31</v>
      </c>
      <c r="F14" s="89" t="s">
        <v>11</v>
      </c>
      <c r="G14" s="91" t="str">
        <f>IF(ISNUMBER(AA14),VLOOKUP(AA14,VLookup!$A$23:$B$47,2,FALSE),"")</f>
        <v>Moderate</v>
      </c>
      <c r="I14" s="147" t="s">
        <v>235</v>
      </c>
      <c r="J14" s="58"/>
      <c r="K14" s="74"/>
      <c r="L14" s="59"/>
      <c r="M14" s="69" t="str">
        <f t="shared" si="2"/>
        <v>Likely</v>
      </c>
      <c r="N14" s="70" t="str">
        <f t="shared" si="3"/>
        <v>Severe</v>
      </c>
      <c r="P14" s="91" t="str">
        <f>IF(ISNUMBER(AE14),VLOOKUP(AE14,VLookup!$A$23:$B$47,2,FALSE),"")</f>
        <v>Moderate</v>
      </c>
      <c r="Y14" s="101">
        <f>IF(ISTEXT(E14),VLOOKUP(E14,VLookup!$A$2:$B$6,2,"FALSE"),"")</f>
        <v>3</v>
      </c>
      <c r="Z14" s="101">
        <f>IF(ISTEXT(F14),VLOOKUP(F14,VLookup!$A$13:$B$17,2,"False"),"")</f>
        <v>4</v>
      </c>
      <c r="AA14" s="101">
        <f t="shared" si="0"/>
        <v>12</v>
      </c>
      <c r="AB14" s="101"/>
      <c r="AC14" s="101">
        <f>IF(ISTEXT(M14),VLOOKUP(M14,VLookup!$A$2:$B$6,2,"FALSE"),"")</f>
        <v>3</v>
      </c>
      <c r="AD14" s="101">
        <f>IF(ISTEXT(N14),VLOOKUP(N14,VLookup!$A$13:$B$17,2,"False"),"")</f>
        <v>4</v>
      </c>
      <c r="AE14" s="101">
        <f t="shared" si="1"/>
        <v>12</v>
      </c>
      <c r="AF14" s="101"/>
    </row>
    <row r="15" spans="1:32" ht="34.799999999999997" thickTop="1" thickBot="1">
      <c r="A15" s="3"/>
      <c r="B15" s="139"/>
      <c r="C15" s="146" t="s">
        <v>202</v>
      </c>
      <c r="D15" s="146" t="s">
        <v>201</v>
      </c>
      <c r="E15" s="58" t="s">
        <v>31</v>
      </c>
      <c r="F15" s="89" t="s">
        <v>11</v>
      </c>
      <c r="G15" s="91" t="str">
        <f>IF(ISNUMBER(AA15),VLOOKUP(AA15,VLookup!$A$23:$B$47,2,FALSE),"")</f>
        <v>Moderate</v>
      </c>
      <c r="I15" s="145" t="s">
        <v>236</v>
      </c>
      <c r="J15" s="58"/>
      <c r="K15" s="74"/>
      <c r="L15" s="59"/>
      <c r="M15" s="69" t="str">
        <f t="shared" si="2"/>
        <v>Likely</v>
      </c>
      <c r="N15" s="70" t="str">
        <f t="shared" si="3"/>
        <v>Severe</v>
      </c>
      <c r="P15" s="91" t="str">
        <f>IF(ISNUMBER(AE15),VLOOKUP(AE15,VLookup!$A$23:$B$47,2,FALSE),"")</f>
        <v>Moderate</v>
      </c>
      <c r="Y15" s="101">
        <f>IF(ISTEXT(E15),VLOOKUP(E15,VLookup!$A$2:$B$6,2,"FALSE"),"")</f>
        <v>3</v>
      </c>
      <c r="Z15" s="101">
        <f>IF(ISTEXT(F15),VLOOKUP(F15,VLookup!$A$13:$B$17,2,"False"),"")</f>
        <v>4</v>
      </c>
      <c r="AA15" s="101">
        <f t="shared" si="0"/>
        <v>12</v>
      </c>
      <c r="AB15" s="101"/>
      <c r="AC15" s="101">
        <f>IF(ISTEXT(M15),VLOOKUP(M15,VLookup!$A$2:$B$6,2,"FALSE"),"")</f>
        <v>3</v>
      </c>
      <c r="AD15" s="101">
        <f>IF(ISTEXT(N15),VLOOKUP(N15,VLookup!$A$13:$B$17,2,"False"),"")</f>
        <v>4</v>
      </c>
      <c r="AE15" s="101">
        <f t="shared" si="1"/>
        <v>12</v>
      </c>
      <c r="AF15" s="101"/>
    </row>
    <row r="16" spans="1:32" ht="46.2" thickTop="1" thickBot="1">
      <c r="A16" s="3"/>
      <c r="B16" s="140"/>
      <c r="C16" s="148" t="s">
        <v>205</v>
      </c>
      <c r="D16" s="146" t="s">
        <v>204</v>
      </c>
      <c r="E16" s="64" t="s">
        <v>35</v>
      </c>
      <c r="F16" s="90" t="s">
        <v>11</v>
      </c>
      <c r="G16" s="91" t="str">
        <f>IF(ISNUMBER(AA16),VLOOKUP(AA16,VLookup!$A$23:$B$47,2,FALSE),"")</f>
        <v>Low</v>
      </c>
      <c r="I16" s="145" t="s">
        <v>237</v>
      </c>
      <c r="J16" s="64"/>
      <c r="K16" s="75"/>
      <c r="L16" s="59"/>
      <c r="M16" s="71" t="str">
        <f t="shared" si="2"/>
        <v>Not Likely</v>
      </c>
      <c r="N16" s="72" t="str">
        <f t="shared" si="3"/>
        <v>Severe</v>
      </c>
      <c r="P16" s="91" t="str">
        <f>IF(ISNUMBER(AE16),VLOOKUP(AE16,VLookup!$A$23:$B$47,2,FALSE),"")</f>
        <v>Low</v>
      </c>
      <c r="Y16" s="101">
        <f>IF(ISTEXT(E16),VLOOKUP(E16,VLookup!$A$2:$B$6,2,"FALSE"),"")</f>
        <v>2</v>
      </c>
      <c r="Z16" s="101">
        <f>IF(ISTEXT(F16),VLOOKUP(F16,VLookup!$A$13:$B$17,2,"False"),"")</f>
        <v>4</v>
      </c>
      <c r="AA16" s="101">
        <f t="shared" si="0"/>
        <v>8</v>
      </c>
      <c r="AB16" s="101"/>
      <c r="AC16" s="101">
        <f>IF(ISTEXT(M16),VLOOKUP(M16,VLookup!$A$2:$B$6,2,"FALSE"),"")</f>
        <v>2</v>
      </c>
      <c r="AD16" s="101">
        <f>IF(ISTEXT(N16),VLOOKUP(N16,VLookup!$A$13:$B$17,2,"False"),"")</f>
        <v>4</v>
      </c>
      <c r="AE16" s="101">
        <f t="shared" si="1"/>
        <v>8</v>
      </c>
      <c r="AF16" s="101"/>
    </row>
    <row r="17" spans="1:32" ht="15.9" thickBot="1">
      <c r="A17" s="3"/>
      <c r="B17" s="56"/>
      <c r="C17" s="61"/>
      <c r="D17" s="57"/>
      <c r="E17" s="60"/>
      <c r="F17" s="59"/>
      <c r="G17" s="76"/>
      <c r="I17" s="106"/>
      <c r="J17" s="60"/>
      <c r="K17" s="59"/>
      <c r="L17" s="59"/>
      <c r="M17" s="60" t="str">
        <f t="shared" ref="M17:M45" si="4">IF(ISBLANK(J17),"",J17)</f>
        <v/>
      </c>
      <c r="N17" s="59" t="str">
        <f t="shared" ref="N17:N45" si="5">IF(ISBLANK(K17),"",K17)</f>
        <v/>
      </c>
      <c r="P17" s="57"/>
      <c r="Y17" s="101" t="str">
        <f>IF(ISTEXT(E17),VLOOKUP(E17,VLookup!$A$2:$B$6,2,"FALSE"),"")</f>
        <v/>
      </c>
      <c r="Z17" s="101" t="str">
        <f>IF(ISTEXT(F17),VLOOKUP(F17,VLookup!$A$13:$B$17,2,"False"),"")</f>
        <v/>
      </c>
      <c r="AA17" s="101" t="str">
        <f t="shared" si="0"/>
        <v/>
      </c>
      <c r="AB17" s="101"/>
      <c r="AC17" s="101" t="e">
        <f>IF(ISTEXT(M17),VLOOKUP(M17,VLookup!$A$2:$B$6,2,"FALSE"),"")</f>
        <v>#N/A</v>
      </c>
      <c r="AD17" s="101" t="e">
        <f>IF(ISTEXT(N17),VLOOKUP(N17,VLookup!$A$13:$B$17,2,"False"),"")</f>
        <v>#N/A</v>
      </c>
      <c r="AE17" s="101" t="e">
        <f t="shared" si="1"/>
        <v>#N/A</v>
      </c>
      <c r="AF17" s="101"/>
    </row>
    <row r="18" spans="1:32" ht="31.8" customHeight="1" thickTop="1" thickBot="1">
      <c r="A18" s="3"/>
      <c r="B18" s="151" t="s">
        <v>99</v>
      </c>
      <c r="C18" s="146" t="s">
        <v>101</v>
      </c>
      <c r="D18" s="146" t="s">
        <v>100</v>
      </c>
      <c r="E18" s="62" t="s">
        <v>31</v>
      </c>
      <c r="F18" s="63" t="s">
        <v>13</v>
      </c>
      <c r="G18" s="91" t="str">
        <f>IF(ISNUMBER(AA18),VLOOKUP(AA18,VLookup!$A$23:$B$47,2,FALSE),"")</f>
        <v>Low</v>
      </c>
      <c r="I18" s="145" t="s">
        <v>238</v>
      </c>
      <c r="J18" s="62"/>
      <c r="K18" s="73"/>
      <c r="L18" s="59"/>
      <c r="M18" s="67" t="str">
        <f t="shared" ref="M18:M25" si="6">IF(ISBLANK(J18),IF(ISBLANK(E18),"",E18),J18)</f>
        <v>Likely</v>
      </c>
      <c r="N18" s="68" t="str">
        <f t="shared" ref="N18:N25" si="7">IF(ISBLANK(K18),IF(ISBLANK(F18),"",F18),K18)</f>
        <v>Serious</v>
      </c>
      <c r="P18" s="91" t="str">
        <f>IF(ISNUMBER(AE18),VLOOKUP(AE18,VLookup!$A$23:$B$47,2,FALSE),"")</f>
        <v>Low</v>
      </c>
      <c r="Y18" s="101">
        <f>IF(ISTEXT(E18),VLOOKUP(E18,VLookup!$A$2:$B$6,2,"FALSE"),"")</f>
        <v>3</v>
      </c>
      <c r="Z18" s="101">
        <f>IF(ISTEXT(F18),VLOOKUP(F18,VLookup!$A$13:$B$17,2,"False"),"")</f>
        <v>3</v>
      </c>
      <c r="AA18" s="101">
        <f t="shared" si="0"/>
        <v>9</v>
      </c>
      <c r="AB18" s="101"/>
      <c r="AC18" s="101">
        <f>IF(ISTEXT(M18),VLOOKUP(M18,VLookup!$A$2:$B$6,2,"FALSE"),"")</f>
        <v>3</v>
      </c>
      <c r="AD18" s="101">
        <f>IF(ISTEXT(N18),VLOOKUP(N18,VLookup!$A$13:$B$17,2,"False"),"")</f>
        <v>3</v>
      </c>
      <c r="AE18" s="101">
        <f t="shared" si="1"/>
        <v>9</v>
      </c>
      <c r="AF18" s="101"/>
    </row>
    <row r="19" spans="1:32" ht="46.2" thickTop="1" thickBot="1">
      <c r="A19" s="3"/>
      <c r="B19" s="152"/>
      <c r="C19" s="148" t="s">
        <v>102</v>
      </c>
      <c r="D19" s="146" t="s">
        <v>103</v>
      </c>
      <c r="E19" s="58" t="s">
        <v>31</v>
      </c>
      <c r="F19" s="65" t="s">
        <v>13</v>
      </c>
      <c r="G19" s="91" t="str">
        <f>IF(ISNUMBER(AA19),VLOOKUP(AA19,VLookup!$A$23:$B$47,2,FALSE),"")</f>
        <v>Low</v>
      </c>
      <c r="I19" s="145" t="s">
        <v>239</v>
      </c>
      <c r="J19" s="58"/>
      <c r="K19" s="74"/>
      <c r="L19" s="59"/>
      <c r="M19" s="69" t="str">
        <f t="shared" si="6"/>
        <v>Likely</v>
      </c>
      <c r="N19" s="70" t="str">
        <f t="shared" si="7"/>
        <v>Serious</v>
      </c>
      <c r="P19" s="91" t="str">
        <f>IF(ISNUMBER(AE19),VLOOKUP(AE19,VLookup!$A$23:$B$47,2,FALSE),"")</f>
        <v>Low</v>
      </c>
      <c r="Y19" s="101">
        <f>IF(ISTEXT(E19),VLOOKUP(E19,VLookup!$A$2:$B$6,2,"FALSE"),"")</f>
        <v>3</v>
      </c>
      <c r="Z19" s="101">
        <f>IF(ISTEXT(F19),VLOOKUP(F19,VLookup!$A$13:$B$17,2,"False"),"")</f>
        <v>3</v>
      </c>
      <c r="AA19" s="101">
        <f t="shared" si="0"/>
        <v>9</v>
      </c>
      <c r="AB19" s="101"/>
      <c r="AC19" s="101">
        <f>IF(ISTEXT(M19),VLOOKUP(M19,VLookup!$A$2:$B$6,2,"FALSE"),"")</f>
        <v>3</v>
      </c>
      <c r="AD19" s="101">
        <f>IF(ISTEXT(N19),VLOOKUP(N19,VLookup!$A$13:$B$17,2,"False"),"")</f>
        <v>3</v>
      </c>
      <c r="AE19" s="101">
        <f t="shared" si="1"/>
        <v>9</v>
      </c>
      <c r="AF19" s="101"/>
    </row>
    <row r="20" spans="1:32" ht="47.4" thickTop="1" thickBot="1">
      <c r="A20" s="3"/>
      <c r="B20" s="152"/>
      <c r="C20" s="148" t="s">
        <v>107</v>
      </c>
      <c r="D20" s="148" t="s">
        <v>104</v>
      </c>
      <c r="E20" s="58" t="s">
        <v>28</v>
      </c>
      <c r="F20" s="65" t="s">
        <v>11</v>
      </c>
      <c r="G20" s="91" t="str">
        <f>IF(ISNUMBER(AA20),VLOOKUP(AA20,VLookup!$A$23:$B$47,2,FALSE),"")</f>
        <v>High</v>
      </c>
      <c r="I20" s="147" t="s">
        <v>240</v>
      </c>
      <c r="J20" s="58"/>
      <c r="K20" s="74"/>
      <c r="L20" s="59"/>
      <c r="M20" s="69" t="str">
        <f t="shared" si="6"/>
        <v>Highly Likely</v>
      </c>
      <c r="N20" s="70" t="str">
        <f t="shared" si="7"/>
        <v>Severe</v>
      </c>
      <c r="P20" s="91" t="str">
        <f>IF(ISNUMBER(AE20),VLOOKUP(AE20,VLookup!$A$23:$B$47,2,FALSE),"")</f>
        <v>High</v>
      </c>
      <c r="Y20" s="101">
        <f>IF(ISTEXT(E20),VLOOKUP(E20,VLookup!$A$2:$B$6,2,"FALSE"),"")</f>
        <v>4</v>
      </c>
      <c r="Z20" s="101">
        <f>IF(ISTEXT(F20),VLOOKUP(F20,VLookup!$A$13:$B$17,2,"False"),"")</f>
        <v>4</v>
      </c>
      <c r="AA20" s="101">
        <f t="shared" si="0"/>
        <v>16</v>
      </c>
      <c r="AB20" s="101"/>
      <c r="AC20" s="101">
        <f>IF(ISTEXT(M20),VLOOKUP(M20,VLookup!$A$2:$B$6,2,"FALSE"),"")</f>
        <v>4</v>
      </c>
      <c r="AD20" s="101">
        <f>IF(ISTEXT(N20),VLOOKUP(N20,VLookup!$A$13:$B$17,2,"False"),"")</f>
        <v>4</v>
      </c>
      <c r="AE20" s="101">
        <f t="shared" si="1"/>
        <v>16</v>
      </c>
      <c r="AF20" s="101"/>
    </row>
    <row r="21" spans="1:32" ht="35.700000000000003" thickTop="1" thickBot="1">
      <c r="A21" s="3"/>
      <c r="B21" s="152"/>
      <c r="C21" s="146" t="s">
        <v>108</v>
      </c>
      <c r="D21" s="148" t="s">
        <v>105</v>
      </c>
      <c r="E21" s="58" t="s">
        <v>28</v>
      </c>
      <c r="F21" s="65" t="s">
        <v>11</v>
      </c>
      <c r="G21" s="91" t="str">
        <f>IF(ISNUMBER(AA21),VLOOKUP(AA21,VLookup!$A$23:$B$47,2,FALSE),"")</f>
        <v>High</v>
      </c>
      <c r="I21" s="147" t="s">
        <v>241</v>
      </c>
      <c r="J21" s="58"/>
      <c r="K21" s="74"/>
      <c r="L21" s="59"/>
      <c r="M21" s="69" t="str">
        <f t="shared" si="6"/>
        <v>Highly Likely</v>
      </c>
      <c r="N21" s="70" t="str">
        <f t="shared" si="7"/>
        <v>Severe</v>
      </c>
      <c r="P21" s="91" t="str">
        <f>IF(ISNUMBER(AE21),VLOOKUP(AE21,VLookup!$A$23:$B$47,2,FALSE),"")</f>
        <v>High</v>
      </c>
      <c r="Y21" s="101">
        <f>IF(ISTEXT(E21),VLOOKUP(E21,VLookup!$A$2:$B$6,2,"FALSE"),"")</f>
        <v>4</v>
      </c>
      <c r="Z21" s="101">
        <f>IF(ISTEXT(F21),VLOOKUP(F21,VLookup!$A$13:$B$17,2,"False"),"")</f>
        <v>4</v>
      </c>
      <c r="AA21" s="101">
        <f t="shared" si="0"/>
        <v>16</v>
      </c>
      <c r="AB21" s="101"/>
      <c r="AC21" s="101">
        <f>IF(ISTEXT(M21),VLOOKUP(M21,VLookup!$A$2:$B$6,2,"FALSE"),"")</f>
        <v>4</v>
      </c>
      <c r="AD21" s="101">
        <f>IF(ISTEXT(N21),VLOOKUP(N21,VLookup!$A$13:$B$17,2,"False"),"")</f>
        <v>4</v>
      </c>
      <c r="AE21" s="101">
        <f t="shared" si="1"/>
        <v>16</v>
      </c>
      <c r="AF21" s="101"/>
    </row>
    <row r="22" spans="1:32" ht="46.2" thickTop="1" thickBot="1">
      <c r="A22" s="3"/>
      <c r="B22" s="152"/>
      <c r="C22" s="146" t="s">
        <v>109</v>
      </c>
      <c r="D22" s="146" t="s">
        <v>106</v>
      </c>
      <c r="E22" s="58" t="s">
        <v>31</v>
      </c>
      <c r="F22" s="65" t="s">
        <v>13</v>
      </c>
      <c r="G22" s="91" t="str">
        <f>IF(ISNUMBER(AA22),VLOOKUP(AA22,VLookup!$A$23:$B$47,2,FALSE),"")</f>
        <v>Low</v>
      </c>
      <c r="I22" s="145" t="s">
        <v>242</v>
      </c>
      <c r="J22" s="58"/>
      <c r="K22" s="74"/>
      <c r="L22" s="59"/>
      <c r="M22" s="69" t="str">
        <f t="shared" si="6"/>
        <v>Likely</v>
      </c>
      <c r="N22" s="70" t="str">
        <f t="shared" si="7"/>
        <v>Serious</v>
      </c>
      <c r="P22" s="91" t="str">
        <f>IF(ISNUMBER(AE22),VLOOKUP(AE22,VLookup!$A$23:$B$47,2,FALSE),"")</f>
        <v>Low</v>
      </c>
      <c r="Y22" s="101">
        <f>IF(ISTEXT(E22),VLOOKUP(E22,VLookup!$A$2:$B$6,2,"FALSE"),"")</f>
        <v>3</v>
      </c>
      <c r="Z22" s="101">
        <f>IF(ISTEXT(F22),VLOOKUP(F22,VLookup!$A$13:$B$17,2,"False"),"")</f>
        <v>3</v>
      </c>
      <c r="AA22" s="101">
        <f t="shared" si="0"/>
        <v>9</v>
      </c>
      <c r="AB22" s="101"/>
      <c r="AC22" s="101">
        <f>IF(ISTEXT(M22),VLOOKUP(M22,VLookup!$A$2:$B$6,2,"FALSE"),"")</f>
        <v>3</v>
      </c>
      <c r="AD22" s="101">
        <f>IF(ISTEXT(N22),VLOOKUP(N22,VLookup!$A$13:$B$17,2,"False"),"")</f>
        <v>3</v>
      </c>
      <c r="AE22" s="101">
        <f t="shared" si="1"/>
        <v>9</v>
      </c>
      <c r="AF22" s="101"/>
    </row>
    <row r="23" spans="1:32" ht="46.2" thickTop="1" thickBot="1">
      <c r="A23" s="3"/>
      <c r="B23" s="152"/>
      <c r="C23" s="148" t="s">
        <v>110</v>
      </c>
      <c r="D23" s="146" t="s">
        <v>111</v>
      </c>
      <c r="E23" s="58" t="s">
        <v>31</v>
      </c>
      <c r="F23" s="65" t="s">
        <v>13</v>
      </c>
      <c r="G23" s="91" t="str">
        <f>IF(ISNUMBER(AA23),VLOOKUP(AA23,VLookup!$A$23:$B$47,2,FALSE),"")</f>
        <v>Low</v>
      </c>
      <c r="I23" s="145" t="s">
        <v>243</v>
      </c>
      <c r="J23" s="58"/>
      <c r="K23" s="74"/>
      <c r="L23" s="59"/>
      <c r="M23" s="69" t="str">
        <f t="shared" si="6"/>
        <v>Likely</v>
      </c>
      <c r="N23" s="70" t="str">
        <f t="shared" si="7"/>
        <v>Serious</v>
      </c>
      <c r="P23" s="91" t="str">
        <f>IF(ISNUMBER(AE23),VLOOKUP(AE23,VLookup!$A$23:$B$47,2,FALSE),"")</f>
        <v>Low</v>
      </c>
      <c r="Y23" s="101">
        <f>IF(ISTEXT(E23),VLOOKUP(E23,VLookup!$A$2:$B$6,2,"FALSE"),"")</f>
        <v>3</v>
      </c>
      <c r="Z23" s="101">
        <f>IF(ISTEXT(F23),VLOOKUP(F23,VLookup!$A$13:$B$17,2,"False"),"")</f>
        <v>3</v>
      </c>
      <c r="AA23" s="101">
        <f t="shared" si="0"/>
        <v>9</v>
      </c>
      <c r="AB23" s="101"/>
      <c r="AC23" s="101">
        <f>IF(ISTEXT(M23),VLOOKUP(M23,VLookup!$A$2:$B$6,2,"FALSE"),"")</f>
        <v>3</v>
      </c>
      <c r="AD23" s="101">
        <f>IF(ISTEXT(N23),VLOOKUP(N23,VLookup!$A$13:$B$17,2,"False"),"")</f>
        <v>3</v>
      </c>
      <c r="AE23" s="101">
        <f t="shared" si="1"/>
        <v>9</v>
      </c>
      <c r="AF23" s="101"/>
    </row>
    <row r="24" spans="1:32" ht="46.2" thickTop="1" thickBot="1">
      <c r="A24" s="3"/>
      <c r="B24" s="152"/>
      <c r="C24" s="146" t="s">
        <v>120</v>
      </c>
      <c r="D24" s="146" t="s">
        <v>118</v>
      </c>
      <c r="E24" s="58" t="s">
        <v>31</v>
      </c>
      <c r="F24" s="65" t="s">
        <v>9</v>
      </c>
      <c r="G24" s="91" t="str">
        <f>IF(ISNUMBER(AA24),VLOOKUP(AA24,VLookup!$A$23:$B$47,2,FALSE),"")</f>
        <v>Moderate</v>
      </c>
      <c r="I24" s="145" t="s">
        <v>244</v>
      </c>
      <c r="J24" s="58"/>
      <c r="K24" s="74"/>
      <c r="L24" s="59"/>
      <c r="M24" s="69" t="str">
        <f t="shared" si="6"/>
        <v>Likely</v>
      </c>
      <c r="N24" s="70" t="str">
        <f t="shared" si="7"/>
        <v>Catastrophic</v>
      </c>
      <c r="P24" s="91" t="str">
        <f>IF(ISNUMBER(AE24),VLOOKUP(AE24,VLookup!$A$23:$B$47,2,FALSE),"")</f>
        <v>Moderate</v>
      </c>
      <c r="Y24" s="101">
        <f>IF(ISTEXT(E24),VLOOKUP(E24,VLookup!$A$2:$B$6,2,"FALSE"),"")</f>
        <v>3</v>
      </c>
      <c r="Z24" s="101">
        <f>IF(ISTEXT(F24),VLOOKUP(F24,VLookup!$A$13:$B$17,2,"False"),"")</f>
        <v>5</v>
      </c>
      <c r="AA24" s="101">
        <f t="shared" si="0"/>
        <v>15</v>
      </c>
      <c r="AB24" s="101"/>
      <c r="AC24" s="101">
        <f>IF(ISTEXT(M24),VLOOKUP(M24,VLookup!$A$2:$B$6,2,"FALSE"),"")</f>
        <v>3</v>
      </c>
      <c r="AD24" s="101">
        <f>IF(ISTEXT(N24),VLOOKUP(N24,VLookup!$A$13:$B$17,2,"False"),"")</f>
        <v>5</v>
      </c>
      <c r="AE24" s="101">
        <f t="shared" si="1"/>
        <v>15</v>
      </c>
      <c r="AF24" s="101"/>
    </row>
    <row r="25" spans="1:32" ht="47.4" thickTop="1" thickBot="1">
      <c r="A25" s="3"/>
      <c r="B25" s="152"/>
      <c r="C25" s="148" t="s">
        <v>121</v>
      </c>
      <c r="D25" s="148" t="s">
        <v>119</v>
      </c>
      <c r="E25" s="64" t="s">
        <v>31</v>
      </c>
      <c r="F25" s="66" t="s">
        <v>11</v>
      </c>
      <c r="G25" s="91" t="str">
        <f>IF(ISNUMBER(AA25),VLOOKUP(AA25,VLookup!$A$23:$B$47,2,FALSE),"")</f>
        <v>Moderate</v>
      </c>
      <c r="I25" s="147" t="s">
        <v>245</v>
      </c>
      <c r="J25" s="64"/>
      <c r="K25" s="75"/>
      <c r="L25" s="59"/>
      <c r="M25" s="71" t="str">
        <f t="shared" si="6"/>
        <v>Likely</v>
      </c>
      <c r="N25" s="72" t="str">
        <f t="shared" si="7"/>
        <v>Severe</v>
      </c>
      <c r="P25" s="91" t="str">
        <f>IF(ISNUMBER(AE25),VLOOKUP(AE25,VLookup!$A$23:$B$47,2,FALSE),"")</f>
        <v>Moderate</v>
      </c>
      <c r="Y25" s="101">
        <f>IF(ISTEXT(E25),VLOOKUP(E25,VLookup!$A$2:$B$6,2,"FALSE"),"")</f>
        <v>3</v>
      </c>
      <c r="Z25" s="101">
        <f>IF(ISTEXT(F25),VLOOKUP(F25,VLookup!$A$13:$B$17,2,"False"),"")</f>
        <v>4</v>
      </c>
      <c r="AA25" s="101">
        <f t="shared" si="0"/>
        <v>12</v>
      </c>
      <c r="AB25" s="101"/>
      <c r="AC25" s="101">
        <f>IF(ISTEXT(M25),VLOOKUP(M25,VLookup!$A$2:$B$6,2,"FALSE"),"")</f>
        <v>3</v>
      </c>
      <c r="AD25" s="101">
        <f>IF(ISTEXT(N25),VLOOKUP(N25,VLookup!$A$13:$B$17,2,"False"),"")</f>
        <v>4</v>
      </c>
      <c r="AE25" s="101">
        <f t="shared" si="1"/>
        <v>12</v>
      </c>
      <c r="AF25" s="101"/>
    </row>
    <row r="26" spans="1:32" ht="15.9" thickBot="1">
      <c r="A26" s="3"/>
      <c r="B26" s="56"/>
      <c r="C26" s="61"/>
      <c r="D26" s="113"/>
      <c r="E26" s="60"/>
      <c r="F26" s="59"/>
      <c r="G26" s="76"/>
      <c r="I26" s="106"/>
      <c r="J26" s="60"/>
      <c r="K26" s="59"/>
      <c r="L26" s="59"/>
      <c r="M26" s="60" t="str">
        <f t="shared" si="4"/>
        <v/>
      </c>
      <c r="N26" s="59" t="str">
        <f t="shared" si="5"/>
        <v/>
      </c>
      <c r="P26" s="57"/>
      <c r="Y26" s="101" t="str">
        <f>IF(ISTEXT(E26),VLOOKUP(E26,VLookup!$A$2:$B$6,2,"FALSE"),"")</f>
        <v/>
      </c>
      <c r="Z26" s="101" t="str">
        <f>IF(ISTEXT(F26),VLOOKUP(F26,VLookup!$A$13:$B$17,2,"False"),"")</f>
        <v/>
      </c>
      <c r="AA26" s="101" t="str">
        <f t="shared" si="0"/>
        <v/>
      </c>
      <c r="AB26" s="101"/>
      <c r="AC26" s="101" t="e">
        <f>IF(ISTEXT(M26),VLOOKUP(M26,VLookup!$A$2:$B$6,2,"FALSE"),"")</f>
        <v>#N/A</v>
      </c>
      <c r="AD26" s="101" t="e">
        <f>IF(ISTEXT(N26),VLOOKUP(N26,VLookup!$A$13:$B$17,2,"False"),"")</f>
        <v>#N/A</v>
      </c>
      <c r="AE26" s="101" t="e">
        <f t="shared" si="1"/>
        <v>#N/A</v>
      </c>
      <c r="AF26" s="101"/>
    </row>
    <row r="27" spans="1:32" ht="31.8" customHeight="1" thickTop="1" thickBot="1">
      <c r="A27" s="3"/>
      <c r="B27" s="153" t="s">
        <v>124</v>
      </c>
      <c r="C27" s="146" t="s">
        <v>126</v>
      </c>
      <c r="D27" s="146" t="s">
        <v>125</v>
      </c>
      <c r="E27" s="62" t="s">
        <v>28</v>
      </c>
      <c r="F27" s="63" t="s">
        <v>11</v>
      </c>
      <c r="G27" s="91" t="str">
        <f>IF(ISNUMBER(AA27),VLOOKUP(AA27,VLookup!$A$23:$B$47,2,FALSE),"")</f>
        <v>High</v>
      </c>
      <c r="I27" s="145" t="s">
        <v>246</v>
      </c>
      <c r="J27" s="62"/>
      <c r="K27" s="73"/>
      <c r="L27" s="59"/>
      <c r="M27" s="67" t="str">
        <f t="shared" ref="M27:M44" si="8">IF(ISBLANK(J27),IF(ISBLANK(E27),"",E27),J27)</f>
        <v>Highly Likely</v>
      </c>
      <c r="N27" s="68" t="str">
        <f t="shared" ref="N27:N44" si="9">IF(ISBLANK(K27),IF(ISBLANK(F27),"",F27),K27)</f>
        <v>Severe</v>
      </c>
      <c r="P27" s="91" t="str">
        <f>IF(ISNUMBER(AE27),VLOOKUP(AE27,VLookup!$A$23:$B$47,2,FALSE),"")</f>
        <v>High</v>
      </c>
      <c r="Y27" s="101">
        <f>IF(ISTEXT(E27),VLOOKUP(E27,VLookup!$A$2:$B$6,2,"FALSE"),"")</f>
        <v>4</v>
      </c>
      <c r="Z27" s="101">
        <f>IF(ISTEXT(F27),VLOOKUP(F27,VLookup!$A$13:$B$17,2,"False"),"")</f>
        <v>4</v>
      </c>
      <c r="AA27" s="101">
        <f t="shared" si="0"/>
        <v>16</v>
      </c>
      <c r="AB27" s="101"/>
      <c r="AC27" s="101">
        <f>IF(ISTEXT(M27),VLOOKUP(M27,VLookup!$A$2:$B$6,2,"FALSE"),"")</f>
        <v>4</v>
      </c>
      <c r="AD27" s="101">
        <f>IF(ISTEXT(N27),VLOOKUP(N27,VLookup!$A$13:$B$17,2,"False"),"")</f>
        <v>4</v>
      </c>
      <c r="AE27" s="101">
        <f t="shared" si="1"/>
        <v>16</v>
      </c>
      <c r="AF27" s="101"/>
    </row>
    <row r="28" spans="1:32" ht="46.2" thickTop="1" thickBot="1">
      <c r="A28" s="3"/>
      <c r="B28" s="154"/>
      <c r="C28" s="148" t="s">
        <v>129</v>
      </c>
      <c r="D28" s="146" t="s">
        <v>128</v>
      </c>
      <c r="E28" s="58" t="s">
        <v>28</v>
      </c>
      <c r="F28" s="65" t="s">
        <v>11</v>
      </c>
      <c r="G28" s="91" t="str">
        <f>IF(ISNUMBER(AA28),VLOOKUP(AA28,VLookup!$A$23:$B$47,2,FALSE),"")</f>
        <v>High</v>
      </c>
      <c r="I28" s="145" t="s">
        <v>247</v>
      </c>
      <c r="J28" s="58"/>
      <c r="K28" s="74"/>
      <c r="L28" s="59"/>
      <c r="M28" s="69" t="str">
        <f t="shared" si="8"/>
        <v>Highly Likely</v>
      </c>
      <c r="N28" s="70" t="str">
        <f t="shared" si="9"/>
        <v>Severe</v>
      </c>
      <c r="P28" s="91" t="str">
        <f>IF(ISNUMBER(AE28),VLOOKUP(AE28,VLookup!$A$23:$B$47,2,FALSE),"")</f>
        <v>High</v>
      </c>
      <c r="Y28" s="101">
        <f>IF(ISTEXT(E28),VLOOKUP(E28,VLookup!$A$2:$B$6,2,"FALSE"),"")</f>
        <v>4</v>
      </c>
      <c r="Z28" s="101">
        <f>IF(ISTEXT(F28),VLOOKUP(F28,VLookup!$A$13:$B$17,2,"False"),"")</f>
        <v>4</v>
      </c>
      <c r="AA28" s="101">
        <f t="shared" si="0"/>
        <v>16</v>
      </c>
      <c r="AB28" s="101"/>
      <c r="AC28" s="101">
        <f>IF(ISTEXT(M28),VLOOKUP(M28,VLookup!$A$2:$B$6,2,"FALSE"),"")</f>
        <v>4</v>
      </c>
      <c r="AD28" s="101">
        <f>IF(ISTEXT(N28),VLOOKUP(N28,VLookup!$A$13:$B$17,2,"False"),"")</f>
        <v>4</v>
      </c>
      <c r="AE28" s="101">
        <f t="shared" si="1"/>
        <v>16</v>
      </c>
      <c r="AF28" s="101"/>
    </row>
    <row r="29" spans="1:32" ht="47.4" thickTop="1" thickBot="1">
      <c r="A29" s="3"/>
      <c r="B29" s="154"/>
      <c r="C29" s="148" t="s">
        <v>132</v>
      </c>
      <c r="D29" s="148" t="s">
        <v>131</v>
      </c>
      <c r="E29" s="58" t="s">
        <v>31</v>
      </c>
      <c r="F29" s="65" t="s">
        <v>16</v>
      </c>
      <c r="G29" s="91" t="str">
        <f>IF(ISNUMBER(AA29),VLOOKUP(AA29,VLookup!$A$23:$B$47,2,FALSE),"")</f>
        <v>Low</v>
      </c>
      <c r="I29" s="147" t="s">
        <v>248</v>
      </c>
      <c r="J29" s="58"/>
      <c r="K29" s="74"/>
      <c r="L29" s="59"/>
      <c r="M29" s="69" t="str">
        <f t="shared" si="8"/>
        <v>Likely</v>
      </c>
      <c r="N29" s="70" t="str">
        <f t="shared" si="9"/>
        <v>Mild</v>
      </c>
      <c r="P29" s="91" t="str">
        <f>IF(ISNUMBER(AE29),VLOOKUP(AE29,VLookup!$A$23:$B$47,2,FALSE),"")</f>
        <v>Low</v>
      </c>
      <c r="Y29" s="101">
        <f>IF(ISTEXT(E29),VLOOKUP(E29,VLookup!$A$2:$B$6,2,"FALSE"),"")</f>
        <v>3</v>
      </c>
      <c r="Z29" s="101">
        <f>IF(ISTEXT(F29),VLOOKUP(F29,VLookup!$A$13:$B$17,2,"False"),"")</f>
        <v>2</v>
      </c>
      <c r="AA29" s="101">
        <f t="shared" si="0"/>
        <v>6</v>
      </c>
      <c r="AB29" s="101"/>
      <c r="AC29" s="101">
        <f>IF(ISTEXT(M29),VLOOKUP(M29,VLookup!$A$2:$B$6,2,"FALSE"),"")</f>
        <v>3</v>
      </c>
      <c r="AD29" s="101">
        <f>IF(ISTEXT(N29),VLOOKUP(N29,VLookup!$A$13:$B$17,2,"False"),"")</f>
        <v>2</v>
      </c>
      <c r="AE29" s="101">
        <f t="shared" si="1"/>
        <v>6</v>
      </c>
      <c r="AF29" s="101"/>
    </row>
    <row r="30" spans="1:32" ht="35.700000000000003" thickTop="1" thickBot="1">
      <c r="A30" s="3"/>
      <c r="B30" s="154"/>
      <c r="C30" s="146" t="s">
        <v>135</v>
      </c>
      <c r="D30" s="148" t="s">
        <v>134</v>
      </c>
      <c r="E30" s="58" t="s">
        <v>31</v>
      </c>
      <c r="F30" s="65" t="s">
        <v>13</v>
      </c>
      <c r="G30" s="91" t="str">
        <f>IF(ISNUMBER(AA30),VLOOKUP(AA30,VLookup!$A$23:$B$47,2,FALSE),"")</f>
        <v>Low</v>
      </c>
      <c r="I30" s="147" t="s">
        <v>249</v>
      </c>
      <c r="J30" s="58"/>
      <c r="K30" s="74"/>
      <c r="L30" s="59"/>
      <c r="M30" s="69" t="str">
        <f t="shared" si="8"/>
        <v>Likely</v>
      </c>
      <c r="N30" s="70" t="str">
        <f t="shared" si="9"/>
        <v>Serious</v>
      </c>
      <c r="P30" s="91" t="str">
        <f>IF(ISNUMBER(AE30),VLOOKUP(AE30,VLookup!$A$23:$B$47,2,FALSE),"")</f>
        <v>Low</v>
      </c>
      <c r="Y30" s="101">
        <f>IF(ISTEXT(E30),VLOOKUP(E30,VLookup!$A$2:$B$6,2,"FALSE"),"")</f>
        <v>3</v>
      </c>
      <c r="Z30" s="101">
        <f>IF(ISTEXT(F30),VLOOKUP(F30,VLookup!$A$13:$B$17,2,"False"),"")</f>
        <v>3</v>
      </c>
      <c r="AA30" s="101">
        <f t="shared" si="0"/>
        <v>9</v>
      </c>
      <c r="AB30" s="101"/>
      <c r="AC30" s="101">
        <f>IF(ISTEXT(M30),VLOOKUP(M30,VLookup!$A$2:$B$6,2,"FALSE"),"")</f>
        <v>3</v>
      </c>
      <c r="AD30" s="101">
        <f>IF(ISTEXT(N30),VLOOKUP(N30,VLookup!$A$13:$B$17,2,"False"),"")</f>
        <v>3</v>
      </c>
      <c r="AE30" s="101">
        <f t="shared" si="1"/>
        <v>9</v>
      </c>
      <c r="AF30" s="101"/>
    </row>
    <row r="31" spans="1:32" ht="46.2" thickTop="1" thickBot="1">
      <c r="A31" s="3"/>
      <c r="B31" s="154"/>
      <c r="C31" s="146" t="s">
        <v>138</v>
      </c>
      <c r="D31" s="146" t="s">
        <v>137</v>
      </c>
      <c r="E31" s="58" t="s">
        <v>28</v>
      </c>
      <c r="F31" s="65" t="s">
        <v>11</v>
      </c>
      <c r="G31" s="91" t="str">
        <f>IF(ISNUMBER(AA31),VLOOKUP(AA31,VLookup!$A$23:$B$47,2,FALSE),"")</f>
        <v>High</v>
      </c>
      <c r="I31" s="145" t="s">
        <v>250</v>
      </c>
      <c r="J31" s="58"/>
      <c r="K31" s="74"/>
      <c r="L31" s="59"/>
      <c r="M31" s="69" t="str">
        <f t="shared" si="8"/>
        <v>Highly Likely</v>
      </c>
      <c r="N31" s="70" t="str">
        <f t="shared" si="9"/>
        <v>Severe</v>
      </c>
      <c r="P31" s="91" t="str">
        <f>IF(ISNUMBER(AE31),VLOOKUP(AE31,VLookup!$A$23:$B$47,2,FALSE),"")</f>
        <v>High</v>
      </c>
      <c r="Y31" s="101">
        <f>IF(ISTEXT(E31),VLOOKUP(E31,VLookup!$A$2:$B$6,2,"FALSE"),"")</f>
        <v>4</v>
      </c>
      <c r="Z31" s="101">
        <f>IF(ISTEXT(F31),VLOOKUP(F31,VLookup!$A$13:$B$17,2,"False"),"")</f>
        <v>4</v>
      </c>
      <c r="AA31" s="101">
        <f t="shared" si="0"/>
        <v>16</v>
      </c>
      <c r="AB31" s="101"/>
      <c r="AC31" s="101">
        <f>IF(ISTEXT(M31),VLOOKUP(M31,VLookup!$A$2:$B$6,2,"FALSE"),"")</f>
        <v>4</v>
      </c>
      <c r="AD31" s="101">
        <f>IF(ISTEXT(N31),VLOOKUP(N31,VLookup!$A$13:$B$17,2,"False"),"")</f>
        <v>4</v>
      </c>
      <c r="AE31" s="101">
        <f t="shared" si="1"/>
        <v>16</v>
      </c>
      <c r="AF31" s="101"/>
    </row>
    <row r="32" spans="1:32" ht="46.2" thickTop="1" thickBot="1">
      <c r="A32" s="3"/>
      <c r="B32" s="154"/>
      <c r="C32" s="148" t="s">
        <v>141</v>
      </c>
      <c r="D32" s="146" t="s">
        <v>140</v>
      </c>
      <c r="E32" s="58" t="s">
        <v>28</v>
      </c>
      <c r="F32" s="65" t="s">
        <v>11</v>
      </c>
      <c r="G32" s="91" t="str">
        <f>IF(ISNUMBER(AA32),VLOOKUP(AA32,VLookup!$A$23:$B$47,2,FALSE),"")</f>
        <v>High</v>
      </c>
      <c r="I32" s="145" t="s">
        <v>251</v>
      </c>
      <c r="J32" s="58"/>
      <c r="K32" s="74"/>
      <c r="L32" s="59"/>
      <c r="M32" s="69" t="str">
        <f t="shared" si="8"/>
        <v>Highly Likely</v>
      </c>
      <c r="N32" s="70" t="str">
        <f t="shared" si="9"/>
        <v>Severe</v>
      </c>
      <c r="P32" s="91" t="str">
        <f>IF(ISNUMBER(AE32),VLOOKUP(AE32,VLookup!$A$23:$B$47,2,FALSE),"")</f>
        <v>High</v>
      </c>
      <c r="Y32" s="101">
        <f>IF(ISTEXT(E32),VLOOKUP(E32,VLookup!$A$2:$B$6,2,"FALSE"),"")</f>
        <v>4</v>
      </c>
      <c r="Z32" s="101">
        <f>IF(ISTEXT(F32),VLOOKUP(F32,VLookup!$A$13:$B$17,2,"False"),"")</f>
        <v>4</v>
      </c>
      <c r="AA32" s="101">
        <f t="shared" si="0"/>
        <v>16</v>
      </c>
      <c r="AB32" s="101"/>
      <c r="AC32" s="101">
        <f>IF(ISTEXT(M32),VLOOKUP(M32,VLookup!$A$2:$B$6,2,"FALSE"),"")</f>
        <v>4</v>
      </c>
      <c r="AD32" s="101">
        <f>IF(ISTEXT(N32),VLOOKUP(N32,VLookup!$A$13:$B$17,2,"False"),"")</f>
        <v>4</v>
      </c>
      <c r="AE32" s="101">
        <f t="shared" si="1"/>
        <v>16</v>
      </c>
      <c r="AF32" s="101"/>
    </row>
    <row r="33" spans="1:32" ht="46.2" thickTop="1" thickBot="1">
      <c r="A33" s="3"/>
      <c r="B33" s="154"/>
      <c r="C33" s="146" t="s">
        <v>144</v>
      </c>
      <c r="D33" s="146" t="s">
        <v>143</v>
      </c>
      <c r="E33" s="58" t="s">
        <v>31</v>
      </c>
      <c r="F33" s="65" t="s">
        <v>13</v>
      </c>
      <c r="G33" s="91" t="str">
        <f>IF(ISNUMBER(AA33),VLOOKUP(AA33,VLookup!$A$23:$B$47,2,FALSE),"")</f>
        <v>Low</v>
      </c>
      <c r="I33" s="145" t="s">
        <v>252</v>
      </c>
      <c r="J33" s="58"/>
      <c r="K33" s="74"/>
      <c r="L33" s="59"/>
      <c r="M33" s="69" t="str">
        <f t="shared" si="8"/>
        <v>Likely</v>
      </c>
      <c r="N33" s="70" t="str">
        <f t="shared" si="9"/>
        <v>Serious</v>
      </c>
      <c r="P33" s="91" t="str">
        <f>IF(ISNUMBER(AE33),VLOOKUP(AE33,VLookup!$A$23:$B$47,2,FALSE),"")</f>
        <v>Low</v>
      </c>
      <c r="Y33" s="101">
        <f>IF(ISTEXT(E33),VLOOKUP(E33,VLookup!$A$2:$B$6,2,"FALSE"),"")</f>
        <v>3</v>
      </c>
      <c r="Z33" s="101">
        <f>IF(ISTEXT(F33),VLOOKUP(F33,VLookup!$A$13:$B$17,2,"False"),"")</f>
        <v>3</v>
      </c>
      <c r="AA33" s="101">
        <f t="shared" si="0"/>
        <v>9</v>
      </c>
      <c r="AB33" s="101"/>
      <c r="AC33" s="101">
        <f>IF(ISTEXT(M33),VLOOKUP(M33,VLookup!$A$2:$B$6,2,"FALSE"),"")</f>
        <v>3</v>
      </c>
      <c r="AD33" s="101">
        <f>IF(ISTEXT(N33),VLOOKUP(N33,VLookup!$A$13:$B$17,2,"False"),"")</f>
        <v>3</v>
      </c>
      <c r="AE33" s="101">
        <f t="shared" si="1"/>
        <v>9</v>
      </c>
      <c r="AF33" s="101"/>
    </row>
    <row r="34" spans="1:32" ht="35.700000000000003" thickTop="1" thickBot="1">
      <c r="A34" s="3"/>
      <c r="B34" s="154"/>
      <c r="C34" s="148" t="s">
        <v>147</v>
      </c>
      <c r="D34" s="148" t="s">
        <v>146</v>
      </c>
      <c r="E34" s="58" t="s">
        <v>31</v>
      </c>
      <c r="F34" s="65" t="s">
        <v>13</v>
      </c>
      <c r="G34" s="91" t="str">
        <f>IF(ISNUMBER(AA34),VLOOKUP(AA34,VLookup!$A$23:$B$47,2,FALSE),"")</f>
        <v>Low</v>
      </c>
      <c r="I34" s="147" t="s">
        <v>253</v>
      </c>
      <c r="J34" s="58"/>
      <c r="K34" s="74"/>
      <c r="L34" s="59"/>
      <c r="M34" s="69" t="str">
        <f t="shared" si="8"/>
        <v>Likely</v>
      </c>
      <c r="N34" s="70" t="str">
        <f t="shared" si="9"/>
        <v>Serious</v>
      </c>
      <c r="P34" s="91" t="str">
        <f>IF(ISNUMBER(AE34),VLOOKUP(AE34,VLookup!$A$23:$B$47,2,FALSE),"")</f>
        <v>Low</v>
      </c>
      <c r="Y34" s="101">
        <f>IF(ISTEXT(E34),VLOOKUP(E34,VLookup!$A$2:$B$6,2,"FALSE"),"")</f>
        <v>3</v>
      </c>
      <c r="Z34" s="101">
        <f>IF(ISTEXT(F34),VLOOKUP(F34,VLookup!$A$13:$B$17,2,"False"),"")</f>
        <v>3</v>
      </c>
      <c r="AA34" s="101">
        <f t="shared" si="0"/>
        <v>9</v>
      </c>
      <c r="AB34" s="101"/>
      <c r="AC34" s="101">
        <f>IF(ISTEXT(M34),VLOOKUP(M34,VLookup!$A$2:$B$6,2,"FALSE"),"")</f>
        <v>3</v>
      </c>
      <c r="AD34" s="101">
        <f>IF(ISTEXT(N34),VLOOKUP(N34,VLookup!$A$13:$B$17,2,"False"),"")</f>
        <v>3</v>
      </c>
      <c r="AE34" s="101">
        <f t="shared" si="1"/>
        <v>9</v>
      </c>
      <c r="AF34" s="101"/>
    </row>
    <row r="35" spans="1:32" ht="46.2" thickTop="1" thickBot="1">
      <c r="A35" s="3"/>
      <c r="B35" s="154"/>
      <c r="C35" s="146" t="s">
        <v>150</v>
      </c>
      <c r="D35" s="146" t="s">
        <v>149</v>
      </c>
      <c r="E35" s="58" t="s">
        <v>31</v>
      </c>
      <c r="F35" s="65" t="s">
        <v>11</v>
      </c>
      <c r="G35" s="91" t="str">
        <f>IF(ISNUMBER(AA35),VLOOKUP(AA35,VLookup!$A$23:$B$47,2,FALSE),"")</f>
        <v>Moderate</v>
      </c>
      <c r="I35" s="145" t="s">
        <v>254</v>
      </c>
      <c r="J35" s="58"/>
      <c r="K35" s="74"/>
      <c r="L35" s="59"/>
      <c r="M35" s="69" t="str">
        <f t="shared" si="8"/>
        <v>Likely</v>
      </c>
      <c r="N35" s="70" t="str">
        <f t="shared" si="9"/>
        <v>Severe</v>
      </c>
      <c r="P35" s="91" t="str">
        <f>IF(ISNUMBER(AE35),VLOOKUP(AE35,VLookup!$A$23:$B$47,2,FALSE),"")</f>
        <v>Moderate</v>
      </c>
      <c r="Y35" s="101">
        <f>IF(ISTEXT(E35),VLOOKUP(E35,VLookup!$A$2:$B$6,2,"FALSE"),"")</f>
        <v>3</v>
      </c>
      <c r="Z35" s="101">
        <f>IF(ISTEXT(F35),VLOOKUP(F35,VLookup!$A$13:$B$17,2,"False"),"")</f>
        <v>4</v>
      </c>
      <c r="AA35" s="101">
        <f t="shared" si="0"/>
        <v>12</v>
      </c>
      <c r="AB35" s="101"/>
      <c r="AC35" s="101">
        <f>IF(ISTEXT(M35),VLOOKUP(M35,VLookup!$A$2:$B$6,2,"FALSE"),"")</f>
        <v>3</v>
      </c>
      <c r="AD35" s="101">
        <f>IF(ISTEXT(N35),VLOOKUP(N35,VLookup!$A$13:$B$17,2,"False"),"")</f>
        <v>4</v>
      </c>
      <c r="AE35" s="101">
        <f t="shared" si="1"/>
        <v>12</v>
      </c>
      <c r="AF35" s="101"/>
    </row>
    <row r="36" spans="1:32" ht="34.799999999999997" thickTop="1" thickBot="1">
      <c r="A36" s="3"/>
      <c r="B36" s="154"/>
      <c r="C36" s="148" t="s">
        <v>153</v>
      </c>
      <c r="D36" s="146" t="s">
        <v>152</v>
      </c>
      <c r="E36" s="58" t="s">
        <v>31</v>
      </c>
      <c r="F36" s="65" t="s">
        <v>11</v>
      </c>
      <c r="G36" s="91" t="str">
        <f>IF(ISNUMBER(AA36),VLOOKUP(AA36,VLookup!$A$23:$B$47,2,FALSE),"")</f>
        <v>Moderate</v>
      </c>
      <c r="I36" s="145" t="s">
        <v>255</v>
      </c>
      <c r="J36" s="58"/>
      <c r="K36" s="74"/>
      <c r="L36" s="59"/>
      <c r="M36" s="69" t="str">
        <f t="shared" si="8"/>
        <v>Likely</v>
      </c>
      <c r="N36" s="70" t="str">
        <f t="shared" si="9"/>
        <v>Severe</v>
      </c>
      <c r="P36" s="91" t="str">
        <f>IF(ISNUMBER(AE36),VLOOKUP(AE36,VLookup!$A$23:$B$47,2,FALSE),"")</f>
        <v>Moderate</v>
      </c>
      <c r="Y36" s="101">
        <f>IF(ISTEXT(E36),VLOOKUP(E36,VLookup!$A$2:$B$6,2,"FALSE"),"")</f>
        <v>3</v>
      </c>
      <c r="Z36" s="101">
        <f>IF(ISTEXT(F36),VLOOKUP(F36,VLookup!$A$13:$B$17,2,"False"),"")</f>
        <v>4</v>
      </c>
      <c r="AA36" s="101">
        <f t="shared" si="0"/>
        <v>12</v>
      </c>
      <c r="AB36" s="101"/>
      <c r="AC36" s="101">
        <f>IF(ISTEXT(M36),VLOOKUP(M36,VLookup!$A$2:$B$6,2,"FALSE"),"")</f>
        <v>3</v>
      </c>
      <c r="AD36" s="101">
        <f>IF(ISTEXT(N36),VLOOKUP(N36,VLookup!$A$13:$B$17,2,"False"),"")</f>
        <v>4</v>
      </c>
      <c r="AE36" s="101">
        <f t="shared" si="1"/>
        <v>12</v>
      </c>
      <c r="AF36" s="101"/>
    </row>
    <row r="37" spans="1:32" ht="35.700000000000003" thickTop="1" thickBot="1">
      <c r="A37" s="3"/>
      <c r="B37" s="154"/>
      <c r="C37" s="148" t="s">
        <v>156</v>
      </c>
      <c r="D37" s="148" t="s">
        <v>155</v>
      </c>
      <c r="E37" s="58" t="s">
        <v>31</v>
      </c>
      <c r="F37" s="65" t="s">
        <v>11</v>
      </c>
      <c r="G37" s="91" t="str">
        <f>IF(ISNUMBER(AA37),VLOOKUP(AA37,VLookup!$A$23:$B$47,2,FALSE),"")</f>
        <v>Moderate</v>
      </c>
      <c r="I37" s="147" t="s">
        <v>256</v>
      </c>
      <c r="J37" s="58"/>
      <c r="K37" s="74"/>
      <c r="L37" s="59"/>
      <c r="M37" s="69" t="str">
        <f t="shared" si="8"/>
        <v>Likely</v>
      </c>
      <c r="N37" s="70" t="str">
        <f t="shared" si="9"/>
        <v>Severe</v>
      </c>
      <c r="P37" s="91" t="str">
        <f>IF(ISNUMBER(AE37),VLOOKUP(AE37,VLookup!$A$23:$B$47,2,FALSE),"")</f>
        <v>Moderate</v>
      </c>
      <c r="Y37" s="101">
        <f>IF(ISTEXT(E37),VLOOKUP(E37,VLookup!$A$2:$B$6,2,"FALSE"),"")</f>
        <v>3</v>
      </c>
      <c r="Z37" s="101">
        <f>IF(ISTEXT(F37),VLOOKUP(F37,VLookup!$A$13:$B$17,2,"False"),"")</f>
        <v>4</v>
      </c>
      <c r="AA37" s="101">
        <f t="shared" si="0"/>
        <v>12</v>
      </c>
      <c r="AB37" s="101"/>
      <c r="AC37" s="101">
        <f>IF(ISTEXT(M37),VLOOKUP(M37,VLookup!$A$2:$B$6,2,"FALSE"),"")</f>
        <v>3</v>
      </c>
      <c r="AD37" s="101">
        <f>IF(ISTEXT(N37),VLOOKUP(N37,VLookup!$A$13:$B$17,2,"False"),"")</f>
        <v>4</v>
      </c>
      <c r="AE37" s="101">
        <f t="shared" si="1"/>
        <v>12</v>
      </c>
      <c r="AF37" s="101"/>
    </row>
    <row r="38" spans="1:32" ht="47.4" thickTop="1" thickBot="1">
      <c r="A38" s="3"/>
      <c r="B38" s="154"/>
      <c r="C38" s="146" t="s">
        <v>159</v>
      </c>
      <c r="D38" s="148" t="s">
        <v>158</v>
      </c>
      <c r="E38" s="58" t="s">
        <v>31</v>
      </c>
      <c r="F38" s="65" t="s">
        <v>11</v>
      </c>
      <c r="G38" s="91" t="str">
        <f>IF(ISNUMBER(AA38),VLOOKUP(AA38,VLookup!$A$23:$B$47,2,FALSE),"")</f>
        <v>Moderate</v>
      </c>
      <c r="I38" s="147" t="s">
        <v>257</v>
      </c>
      <c r="J38" s="58"/>
      <c r="K38" s="74"/>
      <c r="L38" s="59"/>
      <c r="M38" s="69" t="str">
        <f t="shared" si="8"/>
        <v>Likely</v>
      </c>
      <c r="N38" s="70" t="str">
        <f t="shared" si="9"/>
        <v>Severe</v>
      </c>
      <c r="P38" s="91" t="str">
        <f>IF(ISNUMBER(AE38),VLOOKUP(AE38,VLookup!$A$23:$B$47,2,FALSE),"")</f>
        <v>Moderate</v>
      </c>
      <c r="Y38" s="101">
        <f>IF(ISTEXT(E38),VLOOKUP(E38,VLookup!$A$2:$B$6,2,"FALSE"),"")</f>
        <v>3</v>
      </c>
      <c r="Z38" s="101">
        <f>IF(ISTEXT(F38),VLOOKUP(F38,VLookup!$A$13:$B$17,2,"False"),"")</f>
        <v>4</v>
      </c>
      <c r="AA38" s="101">
        <f t="shared" si="0"/>
        <v>12</v>
      </c>
      <c r="AB38" s="101"/>
      <c r="AC38" s="101">
        <f>IF(ISTEXT(M38),VLOOKUP(M38,VLookup!$A$2:$B$6,2,"FALSE"),"")</f>
        <v>3</v>
      </c>
      <c r="AD38" s="101">
        <f>IF(ISTEXT(N38),VLOOKUP(N38,VLookup!$A$13:$B$17,2,"False"),"")</f>
        <v>4</v>
      </c>
      <c r="AE38" s="101">
        <f t="shared" si="1"/>
        <v>12</v>
      </c>
      <c r="AF38" s="101"/>
    </row>
    <row r="39" spans="1:32" ht="34.799999999999997" thickTop="1" thickBot="1">
      <c r="A39" s="3"/>
      <c r="B39" s="154"/>
      <c r="C39" s="146" t="s">
        <v>162</v>
      </c>
      <c r="D39" s="146" t="s">
        <v>161</v>
      </c>
      <c r="E39" s="58" t="s">
        <v>31</v>
      </c>
      <c r="F39" s="65" t="s">
        <v>16</v>
      </c>
      <c r="G39" s="91" t="str">
        <f>IF(ISNUMBER(AA39),VLOOKUP(AA39,VLookup!$A$23:$B$47,2,FALSE),"")</f>
        <v>Low</v>
      </c>
      <c r="I39" s="145" t="s">
        <v>258</v>
      </c>
      <c r="J39" s="58"/>
      <c r="K39" s="74"/>
      <c r="L39" s="59"/>
      <c r="M39" s="69" t="str">
        <f t="shared" si="8"/>
        <v>Likely</v>
      </c>
      <c r="N39" s="70" t="str">
        <f t="shared" si="9"/>
        <v>Mild</v>
      </c>
      <c r="P39" s="91" t="str">
        <f>IF(ISNUMBER(AE39),VLOOKUP(AE39,VLookup!$A$23:$B$47,2,FALSE),"")</f>
        <v>Low</v>
      </c>
      <c r="Y39" s="101">
        <f>IF(ISTEXT(E39),VLOOKUP(E39,VLookup!$A$2:$B$6,2,"FALSE"),"")</f>
        <v>3</v>
      </c>
      <c r="Z39" s="101">
        <f>IF(ISTEXT(F39),VLOOKUP(F39,VLookup!$A$13:$B$17,2,"False"),"")</f>
        <v>2</v>
      </c>
      <c r="AA39" s="101">
        <f t="shared" si="0"/>
        <v>6</v>
      </c>
      <c r="AB39" s="101"/>
      <c r="AC39" s="101">
        <f>IF(ISTEXT(M39),VLOOKUP(M39,VLookup!$A$2:$B$6,2,"FALSE"),"")</f>
        <v>3</v>
      </c>
      <c r="AD39" s="101">
        <f>IF(ISTEXT(N39),VLOOKUP(N39,VLookup!$A$13:$B$17,2,"False"),"")</f>
        <v>2</v>
      </c>
      <c r="AE39" s="101">
        <f t="shared" si="1"/>
        <v>6</v>
      </c>
      <c r="AF39" s="101"/>
    </row>
    <row r="40" spans="1:32" ht="34.799999999999997" thickTop="1" thickBot="1">
      <c r="A40" s="3"/>
      <c r="B40" s="154"/>
      <c r="C40" s="148" t="s">
        <v>165</v>
      </c>
      <c r="D40" s="146" t="s">
        <v>164</v>
      </c>
      <c r="E40" s="58" t="s">
        <v>31</v>
      </c>
      <c r="F40" s="65" t="s">
        <v>16</v>
      </c>
      <c r="G40" s="91" t="str">
        <f>IF(ISNUMBER(AA40),VLOOKUP(AA40,VLookup!$A$23:$B$47,2,FALSE),"")</f>
        <v>Low</v>
      </c>
      <c r="I40" s="145" t="s">
        <v>259</v>
      </c>
      <c r="J40" s="58"/>
      <c r="K40" s="74"/>
      <c r="L40" s="59"/>
      <c r="M40" s="69" t="str">
        <f t="shared" si="8"/>
        <v>Likely</v>
      </c>
      <c r="N40" s="70" t="str">
        <f t="shared" si="9"/>
        <v>Mild</v>
      </c>
      <c r="P40" s="91" t="str">
        <f>IF(ISNUMBER(AE40),VLOOKUP(AE40,VLookup!$A$23:$B$47,2,FALSE),"")</f>
        <v>Low</v>
      </c>
      <c r="Y40" s="101">
        <f>IF(ISTEXT(E40),VLOOKUP(E40,VLookup!$A$2:$B$6,2,"FALSE"),"")</f>
        <v>3</v>
      </c>
      <c r="Z40" s="101">
        <f>IF(ISTEXT(F40),VLOOKUP(F40,VLookup!$A$13:$B$17,2,"False"),"")</f>
        <v>2</v>
      </c>
      <c r="AA40" s="101">
        <f t="shared" si="0"/>
        <v>6</v>
      </c>
      <c r="AB40" s="101"/>
      <c r="AC40" s="101">
        <f>IF(ISTEXT(M40),VLOOKUP(M40,VLookup!$A$2:$B$6,2,"FALSE"),"")</f>
        <v>3</v>
      </c>
      <c r="AD40" s="101">
        <f>IF(ISTEXT(N40),VLOOKUP(N40,VLookup!$A$13:$B$17,2,"False"),"")</f>
        <v>2</v>
      </c>
      <c r="AE40" s="101">
        <f t="shared" si="1"/>
        <v>6</v>
      </c>
      <c r="AF40" s="101"/>
    </row>
    <row r="41" spans="1:32" ht="34.799999999999997" thickTop="1" thickBot="1">
      <c r="A41" s="3"/>
      <c r="B41" s="154"/>
      <c r="C41" s="146" t="s">
        <v>168</v>
      </c>
      <c r="D41" s="146" t="s">
        <v>167</v>
      </c>
      <c r="E41" s="58" t="s">
        <v>31</v>
      </c>
      <c r="F41" s="65" t="s">
        <v>16</v>
      </c>
      <c r="G41" s="91" t="str">
        <f>IF(ISNUMBER(AA41),VLOOKUP(AA41,VLookup!$A$23:$B$47,2,FALSE),"")</f>
        <v>Low</v>
      </c>
      <c r="I41" s="145" t="s">
        <v>260</v>
      </c>
      <c r="J41" s="58"/>
      <c r="K41" s="74"/>
      <c r="L41" s="59"/>
      <c r="M41" s="69" t="str">
        <f t="shared" si="8"/>
        <v>Likely</v>
      </c>
      <c r="N41" s="70" t="str">
        <f t="shared" si="9"/>
        <v>Mild</v>
      </c>
      <c r="P41" s="91" t="str">
        <f>IF(ISNUMBER(AE41),VLOOKUP(AE41,VLookup!$A$23:$B$47,2,FALSE),"")</f>
        <v>Low</v>
      </c>
      <c r="Y41" s="101">
        <f>IF(ISTEXT(E41),VLOOKUP(E41,VLookup!$A$2:$B$6,2,"FALSE"),"")</f>
        <v>3</v>
      </c>
      <c r="Z41" s="101">
        <f>IF(ISTEXT(F41),VLOOKUP(F41,VLookup!$A$13:$B$17,2,"False"),"")</f>
        <v>2</v>
      </c>
      <c r="AA41" s="101">
        <f t="shared" si="0"/>
        <v>6</v>
      </c>
      <c r="AB41" s="101"/>
      <c r="AC41" s="101">
        <f>IF(ISTEXT(M41),VLOOKUP(M41,VLookup!$A$2:$B$6,2,"FALSE"),"")</f>
        <v>3</v>
      </c>
      <c r="AD41" s="101">
        <f>IF(ISTEXT(N41),VLOOKUP(N41,VLookup!$A$13:$B$17,2,"False"),"")</f>
        <v>2</v>
      </c>
      <c r="AE41" s="101">
        <f t="shared" si="1"/>
        <v>6</v>
      </c>
      <c r="AF41" s="101"/>
    </row>
    <row r="42" spans="1:32" ht="47.4" thickTop="1" thickBot="1">
      <c r="A42" s="3"/>
      <c r="B42" s="154"/>
      <c r="C42" s="148" t="s">
        <v>171</v>
      </c>
      <c r="D42" s="148" t="s">
        <v>170</v>
      </c>
      <c r="E42" s="58" t="s">
        <v>31</v>
      </c>
      <c r="F42" s="65" t="s">
        <v>11</v>
      </c>
      <c r="G42" s="91" t="str">
        <f>IF(ISNUMBER(AA42),VLOOKUP(AA42,VLookup!$A$23:$B$47,2,FALSE),"")</f>
        <v>Moderate</v>
      </c>
      <c r="I42" s="147" t="s">
        <v>261</v>
      </c>
      <c r="J42" s="58"/>
      <c r="K42" s="74"/>
      <c r="L42" s="59"/>
      <c r="M42" s="69" t="str">
        <f t="shared" si="8"/>
        <v>Likely</v>
      </c>
      <c r="N42" s="70" t="str">
        <f t="shared" si="9"/>
        <v>Severe</v>
      </c>
      <c r="P42" s="91" t="str">
        <f>IF(ISNUMBER(AE42),VLOOKUP(AE42,VLookup!$A$23:$B$47,2,FALSE),"")</f>
        <v>Moderate</v>
      </c>
      <c r="Y42" s="101">
        <f>IF(ISTEXT(E42),VLOOKUP(E42,VLookup!$A$2:$B$6,2,"FALSE"),"")</f>
        <v>3</v>
      </c>
      <c r="Z42" s="101">
        <f>IF(ISTEXT(F42),VLOOKUP(F42,VLookup!$A$13:$B$17,2,"False"),"")</f>
        <v>4</v>
      </c>
      <c r="AA42" s="101">
        <f t="shared" si="0"/>
        <v>12</v>
      </c>
      <c r="AB42" s="101"/>
      <c r="AC42" s="101">
        <f>IF(ISTEXT(M42),VLOOKUP(M42,VLookup!$A$2:$B$6,2,"FALSE"),"")</f>
        <v>3</v>
      </c>
      <c r="AD42" s="101">
        <f>IF(ISTEXT(N42),VLOOKUP(N42,VLookup!$A$13:$B$17,2,"False"),"")</f>
        <v>4</v>
      </c>
      <c r="AE42" s="101">
        <f t="shared" si="1"/>
        <v>12</v>
      </c>
      <c r="AF42" s="101"/>
    </row>
    <row r="43" spans="1:32" ht="34.799999999999997" thickTop="1" thickBot="1">
      <c r="A43" s="3"/>
      <c r="B43" s="154"/>
      <c r="C43" s="146" t="s">
        <v>174</v>
      </c>
      <c r="D43" s="146" t="s">
        <v>173</v>
      </c>
      <c r="E43" s="58" t="s">
        <v>31</v>
      </c>
      <c r="F43" s="65" t="s">
        <v>13</v>
      </c>
      <c r="G43" s="91" t="str">
        <f>IF(ISNUMBER(AA43),VLOOKUP(AA43,VLookup!$A$23:$B$47,2,FALSE),"")</f>
        <v>Low</v>
      </c>
      <c r="I43" s="145" t="s">
        <v>262</v>
      </c>
      <c r="J43" s="58"/>
      <c r="K43" s="74"/>
      <c r="L43" s="59"/>
      <c r="M43" s="69" t="str">
        <f t="shared" si="8"/>
        <v>Likely</v>
      </c>
      <c r="N43" s="70" t="str">
        <f t="shared" si="9"/>
        <v>Serious</v>
      </c>
      <c r="P43" s="91" t="str">
        <f>IF(ISNUMBER(AE43),VLOOKUP(AE43,VLookup!$A$23:$B$47,2,FALSE),"")</f>
        <v>Low</v>
      </c>
      <c r="Y43" s="101">
        <f>IF(ISTEXT(E43),VLOOKUP(E43,VLookup!$A$2:$B$6,2,"FALSE"),"")</f>
        <v>3</v>
      </c>
      <c r="Z43" s="101">
        <f>IF(ISTEXT(F43),VLOOKUP(F43,VLookup!$A$13:$B$17,2,"False"),"")</f>
        <v>3</v>
      </c>
      <c r="AA43" s="101">
        <f t="shared" si="0"/>
        <v>9</v>
      </c>
      <c r="AB43" s="101"/>
      <c r="AC43" s="101">
        <f>IF(ISTEXT(M43),VLOOKUP(M43,VLookup!$A$2:$B$6,2,"FALSE"),"")</f>
        <v>3</v>
      </c>
      <c r="AD43" s="101">
        <f>IF(ISTEXT(N43),VLOOKUP(N43,VLookup!$A$13:$B$17,2,"False"),"")</f>
        <v>3</v>
      </c>
      <c r="AE43" s="101">
        <f t="shared" si="1"/>
        <v>9</v>
      </c>
      <c r="AF43" s="101"/>
    </row>
    <row r="44" spans="1:32" ht="46.2" thickTop="1" thickBot="1">
      <c r="A44" s="3"/>
      <c r="B44" s="155"/>
      <c r="C44" s="146" t="s">
        <v>177</v>
      </c>
      <c r="D44" s="146" t="s">
        <v>178</v>
      </c>
      <c r="E44" s="64" t="s">
        <v>31</v>
      </c>
      <c r="F44" s="66" t="s">
        <v>13</v>
      </c>
      <c r="G44" s="91" t="str">
        <f>IF(ISNUMBER(AA44),VLOOKUP(AA44,VLookup!$A$23:$B$47,2,FALSE),"")</f>
        <v>Low</v>
      </c>
      <c r="I44" s="145" t="s">
        <v>263</v>
      </c>
      <c r="J44" s="64"/>
      <c r="K44" s="75"/>
      <c r="L44" s="59"/>
      <c r="M44" s="71" t="str">
        <f t="shared" si="8"/>
        <v>Likely</v>
      </c>
      <c r="N44" s="72" t="str">
        <f t="shared" si="9"/>
        <v>Serious</v>
      </c>
      <c r="P44" s="91" t="str">
        <f>IF(ISNUMBER(AE44),VLOOKUP(AE44,VLookup!$A$23:$B$47,2,FALSE),"")</f>
        <v>Low</v>
      </c>
      <c r="Y44" s="101">
        <f>IF(ISTEXT(E44),VLOOKUP(E44,VLookup!$A$2:$B$6,2,"FALSE"),"")</f>
        <v>3</v>
      </c>
      <c r="Z44" s="101">
        <f>IF(ISTEXT(F44),VLOOKUP(F44,VLookup!$A$13:$B$17,2,"False"),"")</f>
        <v>3</v>
      </c>
      <c r="AA44" s="101">
        <f t="shared" si="0"/>
        <v>9</v>
      </c>
      <c r="AB44" s="101"/>
      <c r="AC44" s="101">
        <f>IF(ISTEXT(M44),VLOOKUP(M44,VLookup!$A$2:$B$6,2,"FALSE"),"")</f>
        <v>3</v>
      </c>
      <c r="AD44" s="101">
        <f>IF(ISTEXT(N44),VLOOKUP(N44,VLookup!$A$13:$B$17,2,"False"),"")</f>
        <v>3</v>
      </c>
      <c r="AE44" s="101">
        <f t="shared" si="1"/>
        <v>9</v>
      </c>
      <c r="AF44" s="101"/>
    </row>
    <row r="45" spans="1:32" ht="31.5" customHeight="1" thickBot="1">
      <c r="A45" s="3"/>
      <c r="B45" s="56"/>
      <c r="C45" s="61"/>
      <c r="D45" s="113"/>
      <c r="E45" s="60"/>
      <c r="F45" s="59"/>
      <c r="G45" s="76"/>
      <c r="I45" s="106"/>
      <c r="J45" s="60"/>
      <c r="K45" s="59"/>
      <c r="L45" s="59"/>
      <c r="M45" s="60" t="str">
        <f t="shared" si="4"/>
        <v/>
      </c>
      <c r="N45" s="59" t="str">
        <f t="shared" si="5"/>
        <v/>
      </c>
      <c r="P45" s="57"/>
      <c r="Y45" s="101" t="str">
        <f>IF(ISTEXT(E45),VLOOKUP(E45,VLookup!$A$2:$B$6,2,"FALSE"),"")</f>
        <v/>
      </c>
      <c r="Z45" s="101" t="str">
        <f>IF(ISTEXT(F45),VLOOKUP(F45,VLookup!$A$13:$B$17,2,"False"),"")</f>
        <v/>
      </c>
      <c r="AA45" s="101" t="str">
        <f t="shared" si="0"/>
        <v/>
      </c>
      <c r="AB45" s="101"/>
      <c r="AC45" s="101" t="e">
        <f>IF(ISTEXT(M45),VLOOKUP(M45,VLookup!$A$2:$B$6,2,"FALSE"),"")</f>
        <v>#N/A</v>
      </c>
      <c r="AD45" s="101" t="e">
        <f>IF(ISTEXT(N45),VLOOKUP(N45,VLookup!$A$13:$B$17,2,"False"),"")</f>
        <v>#N/A</v>
      </c>
      <c r="AE45" s="101" t="e">
        <f t="shared" si="1"/>
        <v>#N/A</v>
      </c>
      <c r="AF45" s="101"/>
    </row>
    <row r="46" spans="1:32" ht="31.5" customHeight="1" thickTop="1" thickBot="1">
      <c r="A46" s="3"/>
      <c r="B46" s="160" t="s">
        <v>209</v>
      </c>
      <c r="C46" s="146" t="s">
        <v>211</v>
      </c>
      <c r="D46" s="146" t="s">
        <v>210</v>
      </c>
      <c r="E46" s="62" t="s">
        <v>28</v>
      </c>
      <c r="F46" s="63" t="s">
        <v>11</v>
      </c>
      <c r="G46" s="91" t="str">
        <f>IF(ISNUMBER(AA46),VLOOKUP(AA46,VLookup!$A$23:$B$47,2,FALSE),"")</f>
        <v>High</v>
      </c>
      <c r="I46" s="145" t="s">
        <v>264</v>
      </c>
      <c r="J46" s="58"/>
      <c r="K46" s="73"/>
      <c r="L46" s="59"/>
      <c r="M46" s="67" t="e">
        <f>IF(ISBLANK(#REF!),IF(ISBLANK(E46),"",E46),#REF!)</f>
        <v>#REF!</v>
      </c>
      <c r="N46" s="68" t="str">
        <f t="shared" ref="N46:N51" si="10">IF(ISBLANK(K46),IF(ISBLANK(F46),"",F46),K46)</f>
        <v>Severe</v>
      </c>
      <c r="P46" s="91" t="str">
        <f>IF(ISNUMBER(AE46),VLOOKUP(AE46,VLookup!$A$23:$B$47,2,FALSE),"")</f>
        <v/>
      </c>
      <c r="Y46" s="101">
        <f>IF(ISTEXT(E46),VLOOKUP(E46,VLookup!$A$2:$B$6,2,"FALSE"),"")</f>
        <v>4</v>
      </c>
      <c r="Z46" s="101">
        <f>IF(ISTEXT(F46),VLOOKUP(F46,VLookup!$A$13:$B$17,2,"False"),"")</f>
        <v>4</v>
      </c>
      <c r="AA46" s="101">
        <f t="shared" si="0"/>
        <v>16</v>
      </c>
      <c r="AB46" s="101"/>
      <c r="AC46" s="101" t="str">
        <f>IF(ISTEXT(M46),VLOOKUP(M46,VLookup!$A$2:$B$6,2,"FALSE"),"")</f>
        <v/>
      </c>
      <c r="AD46" s="101">
        <f>IF(ISTEXT(N46),VLOOKUP(N46,VLookup!$A$13:$B$17,2,"False"),"")</f>
        <v>4</v>
      </c>
      <c r="AE46" s="101" t="str">
        <f t="shared" si="1"/>
        <v/>
      </c>
      <c r="AF46" s="101"/>
    </row>
    <row r="47" spans="1:32" ht="31.5" customHeight="1" thickTop="1" thickBot="1">
      <c r="A47" s="3"/>
      <c r="B47" s="161"/>
      <c r="C47" s="148" t="s">
        <v>214</v>
      </c>
      <c r="D47" s="146" t="s">
        <v>213</v>
      </c>
      <c r="E47" s="58" t="s">
        <v>31</v>
      </c>
      <c r="F47" s="65" t="s">
        <v>11</v>
      </c>
      <c r="G47" s="91" t="str">
        <f>IF(ISNUMBER(AA47),VLOOKUP(AA47,VLookup!$A$23:$B$47,2,FALSE),"")</f>
        <v>Moderate</v>
      </c>
      <c r="I47" s="145" t="s">
        <v>265</v>
      </c>
      <c r="K47" s="74"/>
      <c r="L47" s="59"/>
      <c r="M47" s="69" t="str">
        <f>IF(ISBLANK(J46),IF(ISBLANK(E47),"",E47),J46)</f>
        <v>Likely</v>
      </c>
      <c r="N47" s="70" t="str">
        <f t="shared" si="10"/>
        <v>Severe</v>
      </c>
      <c r="P47" s="91" t="str">
        <f>IF(ISNUMBER(AE47),VLOOKUP(AE47,VLookup!$A$23:$B$47,2,FALSE),"")</f>
        <v>Moderate</v>
      </c>
      <c r="Y47" s="101">
        <f>IF(ISTEXT(E47),VLOOKUP(E47,VLookup!$A$2:$B$6,2,"FALSE"),"")</f>
        <v>3</v>
      </c>
      <c r="Z47" s="101">
        <f>IF(ISTEXT(F47),VLOOKUP(F47,VLookup!$A$13:$B$17,2,"False"),"")</f>
        <v>4</v>
      </c>
      <c r="AA47" s="101">
        <f t="shared" si="0"/>
        <v>12</v>
      </c>
      <c r="AB47" s="101"/>
      <c r="AC47" s="101">
        <f>IF(ISTEXT(M47),VLOOKUP(M47,VLookup!$A$2:$B$6,2,"FALSE"),"")</f>
        <v>3</v>
      </c>
      <c r="AD47" s="101">
        <f>IF(ISTEXT(N47),VLOOKUP(N47,VLookup!$A$13:$B$17,2,"False"),"")</f>
        <v>4</v>
      </c>
      <c r="AE47" s="101">
        <f t="shared" si="1"/>
        <v>12</v>
      </c>
      <c r="AF47" s="101"/>
    </row>
    <row r="48" spans="1:32" ht="31.5" customHeight="1" thickTop="1" thickBot="1">
      <c r="A48" s="3"/>
      <c r="B48" s="161"/>
      <c r="C48" s="148" t="s">
        <v>217</v>
      </c>
      <c r="D48" s="148" t="s">
        <v>216</v>
      </c>
      <c r="E48" s="58" t="s">
        <v>31</v>
      </c>
      <c r="F48" s="65" t="s">
        <v>11</v>
      </c>
      <c r="G48" s="91" t="str">
        <f>IF(ISNUMBER(AA48),VLOOKUP(AA48,VLookup!$A$23:$B$47,2,FALSE),"")</f>
        <v>Moderate</v>
      </c>
      <c r="I48" s="147" t="s">
        <v>266</v>
      </c>
      <c r="J48" s="58"/>
      <c r="K48" s="74"/>
      <c r="L48" s="59"/>
      <c r="M48" s="69" t="str">
        <f t="shared" ref="M46:M51" si="11">IF(ISBLANK(J48),IF(ISBLANK(E48),"",E48),J48)</f>
        <v>Likely</v>
      </c>
      <c r="N48" s="70" t="str">
        <f t="shared" si="10"/>
        <v>Severe</v>
      </c>
      <c r="P48" s="91" t="str">
        <f>IF(ISNUMBER(AE48),VLOOKUP(AE48,VLookup!$A$23:$B$47,2,FALSE),"")</f>
        <v>Moderate</v>
      </c>
      <c r="Y48" s="101">
        <f>IF(ISTEXT(E48),VLOOKUP(E48,VLookup!$A$2:$B$6,2,"FALSE"),"")</f>
        <v>3</v>
      </c>
      <c r="Z48" s="101">
        <f>IF(ISTEXT(F48),VLOOKUP(F48,VLookup!$A$13:$B$17,2,"False"),"")</f>
        <v>4</v>
      </c>
      <c r="AA48" s="101">
        <f t="shared" si="0"/>
        <v>12</v>
      </c>
      <c r="AB48" s="101"/>
      <c r="AC48" s="101">
        <f>IF(ISTEXT(M48),VLOOKUP(M48,VLookup!$A$2:$B$6,2,"FALSE"),"")</f>
        <v>3</v>
      </c>
      <c r="AD48" s="101">
        <f>IF(ISTEXT(N48),VLOOKUP(N48,VLookup!$A$13:$B$17,2,"False"),"")</f>
        <v>4</v>
      </c>
      <c r="AE48" s="101">
        <f t="shared" si="1"/>
        <v>12</v>
      </c>
      <c r="AF48" s="101"/>
    </row>
    <row r="49" spans="1:32" ht="31.5" customHeight="1" thickTop="1" thickBot="1">
      <c r="A49" s="3"/>
      <c r="B49" s="161"/>
      <c r="C49" s="146" t="s">
        <v>220</v>
      </c>
      <c r="D49" s="148" t="s">
        <v>219</v>
      </c>
      <c r="E49" s="58" t="s">
        <v>31</v>
      </c>
      <c r="F49" s="65" t="s">
        <v>11</v>
      </c>
      <c r="G49" s="91" t="str">
        <f>IF(ISNUMBER(AA49),VLOOKUP(AA49,VLookup!$A$23:$B$47,2,FALSE),"")</f>
        <v>Moderate</v>
      </c>
      <c r="I49" s="147" t="s">
        <v>267</v>
      </c>
      <c r="J49" s="58"/>
      <c r="K49" s="74"/>
      <c r="L49" s="59"/>
      <c r="M49" s="69" t="str">
        <f t="shared" si="11"/>
        <v>Likely</v>
      </c>
      <c r="N49" s="70" t="str">
        <f t="shared" si="10"/>
        <v>Severe</v>
      </c>
      <c r="P49" s="91" t="str">
        <f>IF(ISNUMBER(AE49),VLOOKUP(AE49,VLookup!$A$23:$B$47,2,FALSE),"")</f>
        <v>Moderate</v>
      </c>
      <c r="Y49" s="101">
        <f>IF(ISTEXT(E49),VLOOKUP(E49,VLookup!$A$2:$B$6,2,"FALSE"),"")</f>
        <v>3</v>
      </c>
      <c r="Z49" s="101">
        <f>IF(ISTEXT(F49),VLOOKUP(F49,VLookup!$A$13:$B$17,2,"False"),"")</f>
        <v>4</v>
      </c>
      <c r="AA49" s="101">
        <f t="shared" si="0"/>
        <v>12</v>
      </c>
      <c r="AB49" s="101"/>
      <c r="AC49" s="101">
        <f>IF(ISTEXT(M49),VLOOKUP(M49,VLookup!$A$2:$B$6,2,"FALSE"),"")</f>
        <v>3</v>
      </c>
      <c r="AD49" s="101">
        <f>IF(ISTEXT(N49),VLOOKUP(N49,VLookup!$A$13:$B$17,2,"False"),"")</f>
        <v>4</v>
      </c>
      <c r="AE49" s="101">
        <f t="shared" si="1"/>
        <v>12</v>
      </c>
      <c r="AF49" s="101"/>
    </row>
    <row r="50" spans="1:32" ht="31.5" customHeight="1" thickTop="1" thickBot="1">
      <c r="A50" s="3"/>
      <c r="B50" s="161"/>
      <c r="C50" s="146" t="s">
        <v>223</v>
      </c>
      <c r="D50" s="146" t="s">
        <v>222</v>
      </c>
      <c r="E50" s="58" t="s">
        <v>31</v>
      </c>
      <c r="F50" s="65" t="s">
        <v>11</v>
      </c>
      <c r="G50" s="91" t="str">
        <f>IF(ISNUMBER(AA50),VLOOKUP(AA50,VLookup!$A$23:$B$47,2,FALSE),"")</f>
        <v>Moderate</v>
      </c>
      <c r="I50" s="145" t="s">
        <v>268</v>
      </c>
      <c r="J50" s="58"/>
      <c r="K50" s="74"/>
      <c r="L50" s="59"/>
      <c r="M50" s="69" t="str">
        <f t="shared" si="11"/>
        <v>Likely</v>
      </c>
      <c r="N50" s="70" t="str">
        <f t="shared" si="10"/>
        <v>Severe</v>
      </c>
      <c r="P50" s="91" t="str">
        <f>IF(ISNUMBER(AE50),VLOOKUP(AE50,VLookup!$A$23:$B$47,2,FALSE),"")</f>
        <v>Moderate</v>
      </c>
      <c r="Y50" s="101">
        <f>IF(ISTEXT(E50),VLOOKUP(E50,VLookup!$A$2:$B$6,2,"FALSE"),"")</f>
        <v>3</v>
      </c>
      <c r="Z50" s="101">
        <f>IF(ISTEXT(F50),VLOOKUP(F50,VLookup!$A$13:$B$17,2,"False"),"")</f>
        <v>4</v>
      </c>
      <c r="AA50" s="101">
        <f t="shared" si="0"/>
        <v>12</v>
      </c>
      <c r="AB50" s="101"/>
      <c r="AC50" s="101">
        <f>IF(ISTEXT(M50),VLOOKUP(M50,VLookup!$A$2:$B$6,2,"FALSE"),"")</f>
        <v>3</v>
      </c>
      <c r="AD50" s="101">
        <f>IF(ISTEXT(N50),VLOOKUP(N50,VLookup!$A$13:$B$17,2,"False"),"")</f>
        <v>4</v>
      </c>
      <c r="AE50" s="101">
        <f t="shared" si="1"/>
        <v>12</v>
      </c>
      <c r="AF50" s="101"/>
    </row>
    <row r="51" spans="1:32" ht="31.5" customHeight="1" thickTop="1" thickBot="1">
      <c r="A51" s="3"/>
      <c r="B51" s="162"/>
      <c r="C51" s="148" t="s">
        <v>226</v>
      </c>
      <c r="D51" s="146" t="s">
        <v>225</v>
      </c>
      <c r="E51" s="64" t="s">
        <v>31</v>
      </c>
      <c r="F51" s="66" t="s">
        <v>11</v>
      </c>
      <c r="G51" s="91" t="str">
        <f>IF(ISNUMBER(AA51),VLOOKUP(AA51,VLookup!$A$23:$B$47,2,FALSE),"")</f>
        <v>Moderate</v>
      </c>
      <c r="I51" s="145" t="s">
        <v>269</v>
      </c>
      <c r="J51" s="64"/>
      <c r="K51" s="75"/>
      <c r="L51" s="59"/>
      <c r="M51" s="71" t="str">
        <f t="shared" si="11"/>
        <v>Likely</v>
      </c>
      <c r="N51" s="72" t="str">
        <f t="shared" si="10"/>
        <v>Severe</v>
      </c>
      <c r="P51" s="91" t="str">
        <f>IF(ISNUMBER(AE51),VLOOKUP(AE51,VLookup!$A$23:$B$47,2,FALSE),"")</f>
        <v>Moderate</v>
      </c>
      <c r="Y51" s="101">
        <f>IF(ISTEXT(E51),VLOOKUP(E51,VLookup!$A$2:$B$6,2,"FALSE"),"")</f>
        <v>3</v>
      </c>
      <c r="Z51" s="101">
        <f>IF(ISTEXT(F51),VLOOKUP(F51,VLookup!$A$13:$B$17,2,"False"),"")</f>
        <v>4</v>
      </c>
      <c r="AA51" s="101">
        <f t="shared" si="0"/>
        <v>12</v>
      </c>
      <c r="AB51" s="101"/>
      <c r="AC51" s="101">
        <f>IF(ISTEXT(M51),VLOOKUP(M51,VLookup!$A$2:$B$6,2,"FALSE"),"")</f>
        <v>3</v>
      </c>
      <c r="AD51" s="101">
        <f>IF(ISTEXT(N51),VLOOKUP(N51,VLookup!$A$13:$B$17,2,"False"),"")</f>
        <v>4</v>
      </c>
      <c r="AE51" s="101">
        <f t="shared" si="1"/>
        <v>12</v>
      </c>
      <c r="AF51" s="101"/>
    </row>
    <row r="52" spans="1:32" ht="18.3">
      <c r="A52" s="3"/>
      <c r="B52" s="1"/>
      <c r="C52" s="2"/>
      <c r="D52" s="2"/>
      <c r="E52" s="7"/>
      <c r="I52" s="2"/>
      <c r="J52" s="7"/>
      <c r="M52" s="7"/>
      <c r="Y52" t="str">
        <f>IF(ISTEXT(E52),VLOOKUP(E52,VLookup!$A$2:$B$6,2,"FALSE"),"")</f>
        <v/>
      </c>
      <c r="Z52" t="str">
        <f>IF(ISTEXT(F52),VLOOKUP(F52,VLookup!$A$13:$B$17,2,"False"),"")</f>
        <v/>
      </c>
    </row>
    <row r="53" spans="1:32" ht="18.3">
      <c r="A53" s="8"/>
      <c r="B53" s="53" t="str">
        <f>IF(A53=1,IF(#REF!&lt;43,"Please complete the mandatory questions - " &amp;#REF!,""),"")</f>
        <v/>
      </c>
      <c r="E53" s="54"/>
      <c r="J53" s="54"/>
      <c r="M53" s="54"/>
    </row>
    <row r="54" spans="1:32" ht="18.3">
      <c r="A54" s="3"/>
      <c r="B54" s="54"/>
      <c r="C54" s="54"/>
      <c r="D54" s="54"/>
      <c r="E54" s="54"/>
      <c r="I54" s="54"/>
      <c r="J54" s="54"/>
      <c r="M54" s="54"/>
    </row>
    <row r="55" spans="1:32" ht="18.3">
      <c r="A55" s="3"/>
      <c r="B55" s="54"/>
      <c r="C55" s="54"/>
      <c r="D55" s="54"/>
      <c r="E55" s="54"/>
      <c r="I55" s="54"/>
      <c r="J55" s="54"/>
      <c r="M55" s="54"/>
    </row>
    <row r="56" spans="1:32" ht="18.75" customHeight="1">
      <c r="D56" s="11"/>
      <c r="I56" s="11"/>
    </row>
  </sheetData>
  <mergeCells count="9">
    <mergeCell ref="AC5:AE5"/>
    <mergeCell ref="Y5:AA5"/>
    <mergeCell ref="B5:D5"/>
    <mergeCell ref="B46:B51"/>
    <mergeCell ref="I5:K5"/>
    <mergeCell ref="M5:N5"/>
    <mergeCell ref="B7:B16"/>
    <mergeCell ref="B18:B25"/>
    <mergeCell ref="B27:B44"/>
  </mergeCells>
  <conditionalFormatting sqref="E17 M27:N44 M46:N51 E26:E51 J48:J51 J46">
    <cfRule type="cellIs" dxfId="553" priority="1483" operator="equal">
      <formula>"Medium Tolerance"</formula>
    </cfRule>
    <cfRule type="cellIs" dxfId="552" priority="1484" operator="equal">
      <formula>"Limited Tolerance"</formula>
    </cfRule>
  </conditionalFormatting>
  <conditionalFormatting sqref="E17 M27:N44 M46:N51 E26:E51 J48:J51 J46">
    <cfRule type="cellIs" dxfId="551" priority="1482" operator="equal">
      <formula>"No Tolerance"</formula>
    </cfRule>
  </conditionalFormatting>
  <conditionalFormatting sqref="F53">
    <cfRule type="containsText" dxfId="550" priority="1481" operator="containsText" text="Reconsider Tolerance">
      <formula>NOT(ISERROR(SEARCH("Reconsider Tolerance",F53)))</formula>
    </cfRule>
  </conditionalFormatting>
  <conditionalFormatting sqref="E17 M27:N44 M46:N51 E26:E51 J48:J51 J46">
    <cfRule type="cellIs" dxfId="549" priority="1479" operator="equal">
      <formula>"Maximum Tolerance"</formula>
    </cfRule>
    <cfRule type="cellIs" dxfId="548" priority="1480" operator="equal">
      <formula>"Good Tolerance"</formula>
    </cfRule>
  </conditionalFormatting>
  <conditionalFormatting sqref="F17 K27:K44 L26:L27 K46:K51 F26:F51">
    <cfRule type="cellIs" dxfId="547" priority="1475" operator="equal">
      <formula>5</formula>
    </cfRule>
    <cfRule type="cellIs" dxfId="546" priority="1476" operator="equal">
      <formula>4</formula>
    </cfRule>
    <cfRule type="cellIs" dxfId="545" priority="1477" operator="equal">
      <formula>3</formula>
    </cfRule>
    <cfRule type="cellIs" dxfId="544" priority="1478" operator="equal">
      <formula>2</formula>
    </cfRule>
  </conditionalFormatting>
  <conditionalFormatting sqref="F17 K27:K44 L26:L27 K46:K51 F26:F51">
    <cfRule type="cellIs" dxfId="543" priority="1474" operator="equal">
      <formula>1</formula>
    </cfRule>
  </conditionalFormatting>
  <conditionalFormatting sqref="E7">
    <cfRule type="cellIs" dxfId="542" priority="1472" operator="equal">
      <formula>"Medium Tolerance"</formula>
    </cfRule>
    <cfRule type="cellIs" dxfId="541" priority="1473" operator="equal">
      <formula>"Limited Tolerance"</formula>
    </cfRule>
  </conditionalFormatting>
  <conditionalFormatting sqref="E7">
    <cfRule type="cellIs" dxfId="540" priority="1471" operator="equal">
      <formula>"No Tolerance"</formula>
    </cfRule>
  </conditionalFormatting>
  <conditionalFormatting sqref="E7">
    <cfRule type="cellIs" dxfId="539" priority="1469" operator="equal">
      <formula>"Maximum Tolerance"</formula>
    </cfRule>
    <cfRule type="cellIs" dxfId="538" priority="1470" operator="equal">
      <formula>"Good Tolerance"</formula>
    </cfRule>
  </conditionalFormatting>
  <conditionalFormatting sqref="F7">
    <cfRule type="cellIs" dxfId="537" priority="1465" operator="equal">
      <formula>5</formula>
    </cfRule>
    <cfRule type="cellIs" dxfId="536" priority="1466" operator="equal">
      <formula>4</formula>
    </cfRule>
    <cfRule type="cellIs" dxfId="535" priority="1467" operator="equal">
      <formula>3</formula>
    </cfRule>
    <cfRule type="cellIs" dxfId="534" priority="1468" operator="equal">
      <formula>2</formula>
    </cfRule>
  </conditionalFormatting>
  <conditionalFormatting sqref="F7">
    <cfRule type="cellIs" dxfId="533" priority="1464" operator="equal">
      <formula>1</formula>
    </cfRule>
  </conditionalFormatting>
  <conditionalFormatting sqref="J17">
    <cfRule type="cellIs" dxfId="532" priority="1122" operator="equal">
      <formula>"Medium Tolerance"</formula>
    </cfRule>
    <cfRule type="cellIs" dxfId="531" priority="1123" operator="equal">
      <formula>"Limited Tolerance"</formula>
    </cfRule>
  </conditionalFormatting>
  <conditionalFormatting sqref="J17">
    <cfRule type="cellIs" dxfId="530" priority="1121" operator="equal">
      <formula>"No Tolerance"</formula>
    </cfRule>
  </conditionalFormatting>
  <conditionalFormatting sqref="K53">
    <cfRule type="containsText" dxfId="529" priority="1120" operator="containsText" text="Reconsider Tolerance">
      <formula>NOT(ISERROR(SEARCH("Reconsider Tolerance",K53)))</formula>
    </cfRule>
  </conditionalFormatting>
  <conditionalFormatting sqref="J17">
    <cfRule type="cellIs" dxfId="528" priority="1118" operator="equal">
      <formula>"Maximum Tolerance"</formula>
    </cfRule>
    <cfRule type="cellIs" dxfId="527" priority="1119" operator="equal">
      <formula>"Good Tolerance"</formula>
    </cfRule>
  </conditionalFormatting>
  <conditionalFormatting sqref="K45 K26 K17">
    <cfRule type="cellIs" dxfId="526" priority="1114" operator="equal">
      <formula>5</formula>
    </cfRule>
    <cfRule type="cellIs" dxfId="525" priority="1115" operator="equal">
      <formula>4</formula>
    </cfRule>
    <cfRule type="cellIs" dxfId="524" priority="1116" operator="equal">
      <formula>3</formula>
    </cfRule>
    <cfRule type="cellIs" dxfId="523" priority="1117" operator="equal">
      <formula>2</formula>
    </cfRule>
  </conditionalFormatting>
  <conditionalFormatting sqref="K45 K26 K17">
    <cfRule type="cellIs" dxfId="522" priority="1113" operator="equal">
      <formula>1</formula>
    </cfRule>
  </conditionalFormatting>
  <conditionalFormatting sqref="K7">
    <cfRule type="cellIs" dxfId="521" priority="1104" operator="equal">
      <formula>5</formula>
    </cfRule>
    <cfRule type="cellIs" dxfId="520" priority="1105" operator="equal">
      <formula>4</formula>
    </cfRule>
    <cfRule type="cellIs" dxfId="519" priority="1106" operator="equal">
      <formula>3</formula>
    </cfRule>
    <cfRule type="cellIs" dxfId="518" priority="1107" operator="equal">
      <formula>2</formula>
    </cfRule>
  </conditionalFormatting>
  <conditionalFormatting sqref="K7">
    <cfRule type="cellIs" dxfId="517" priority="1103" operator="equal">
      <formula>1</formula>
    </cfRule>
  </conditionalFormatting>
  <conditionalFormatting sqref="L53">
    <cfRule type="containsText" dxfId="516" priority="762" operator="containsText" text="Reconsider Tolerance">
      <formula>NOT(ISERROR(SEARCH("Reconsider Tolerance",L53)))</formula>
    </cfRule>
  </conditionalFormatting>
  <conditionalFormatting sqref="L44:L45 L51 L21:L22 L16:L19">
    <cfRule type="cellIs" dxfId="515" priority="758" operator="equal">
      <formula>5</formula>
    </cfRule>
    <cfRule type="cellIs" dxfId="514" priority="759" operator="equal">
      <formula>4</formula>
    </cfRule>
    <cfRule type="cellIs" dxfId="513" priority="760" operator="equal">
      <formula>3</formula>
    </cfRule>
    <cfRule type="cellIs" dxfId="512" priority="761" operator="equal">
      <formula>2</formula>
    </cfRule>
  </conditionalFormatting>
  <conditionalFormatting sqref="L44:L45 L51 L21:L22 L16:L19">
    <cfRule type="cellIs" dxfId="511" priority="757" operator="equal">
      <formula>1</formula>
    </cfRule>
  </conditionalFormatting>
  <conditionalFormatting sqref="L7:L8">
    <cfRule type="cellIs" dxfId="510" priority="753" operator="equal">
      <formula>5</formula>
    </cfRule>
    <cfRule type="cellIs" dxfId="509" priority="754" operator="equal">
      <formula>4</formula>
    </cfRule>
    <cfRule type="cellIs" dxfId="508" priority="755" operator="equal">
      <formula>3</formula>
    </cfRule>
    <cfRule type="cellIs" dxfId="507" priority="756" operator="equal">
      <formula>2</formula>
    </cfRule>
  </conditionalFormatting>
  <conditionalFormatting sqref="L7:L8">
    <cfRule type="cellIs" dxfId="506" priority="752" operator="equal">
      <formula>1</formula>
    </cfRule>
  </conditionalFormatting>
  <conditionalFormatting sqref="L31">
    <cfRule type="cellIs" dxfId="505" priority="748" operator="equal">
      <formula>5</formula>
    </cfRule>
    <cfRule type="cellIs" dxfId="504" priority="749" operator="equal">
      <formula>4</formula>
    </cfRule>
    <cfRule type="cellIs" dxfId="503" priority="750" operator="equal">
      <formula>3</formula>
    </cfRule>
    <cfRule type="cellIs" dxfId="502" priority="751" operator="equal">
      <formula>2</formula>
    </cfRule>
  </conditionalFormatting>
  <conditionalFormatting sqref="L31">
    <cfRule type="cellIs" dxfId="501" priority="747" operator="equal">
      <formula>1</formula>
    </cfRule>
  </conditionalFormatting>
  <conditionalFormatting sqref="L15">
    <cfRule type="cellIs" dxfId="500" priority="743" operator="equal">
      <formula>5</formula>
    </cfRule>
    <cfRule type="cellIs" dxfId="499" priority="744" operator="equal">
      <formula>4</formula>
    </cfRule>
    <cfRule type="cellIs" dxfId="498" priority="745" operator="equal">
      <formula>3</formula>
    </cfRule>
    <cfRule type="cellIs" dxfId="497" priority="746" operator="equal">
      <formula>2</formula>
    </cfRule>
  </conditionalFormatting>
  <conditionalFormatting sqref="L15">
    <cfRule type="cellIs" dxfId="496" priority="742" operator="equal">
      <formula>1</formula>
    </cfRule>
  </conditionalFormatting>
  <conditionalFormatting sqref="L14">
    <cfRule type="cellIs" dxfId="495" priority="738" operator="equal">
      <formula>5</formula>
    </cfRule>
    <cfRule type="cellIs" dxfId="494" priority="739" operator="equal">
      <formula>4</formula>
    </cfRule>
    <cfRule type="cellIs" dxfId="493" priority="740" operator="equal">
      <formula>3</formula>
    </cfRule>
    <cfRule type="cellIs" dxfId="492" priority="741" operator="equal">
      <formula>2</formula>
    </cfRule>
  </conditionalFormatting>
  <conditionalFormatting sqref="L14">
    <cfRule type="cellIs" dxfId="491" priority="737" operator="equal">
      <formula>1</formula>
    </cfRule>
  </conditionalFormatting>
  <conditionalFormatting sqref="L28">
    <cfRule type="cellIs" dxfId="490" priority="728" operator="equal">
      <formula>5</formula>
    </cfRule>
    <cfRule type="cellIs" dxfId="489" priority="729" operator="equal">
      <formula>4</formula>
    </cfRule>
    <cfRule type="cellIs" dxfId="488" priority="730" operator="equal">
      <formula>3</formula>
    </cfRule>
    <cfRule type="cellIs" dxfId="487" priority="731" operator="equal">
      <formula>2</formula>
    </cfRule>
  </conditionalFormatting>
  <conditionalFormatting sqref="L28">
    <cfRule type="cellIs" dxfId="486" priority="727" operator="equal">
      <formula>1</formula>
    </cfRule>
  </conditionalFormatting>
  <conditionalFormatting sqref="L50">
    <cfRule type="cellIs" dxfId="485" priority="723" operator="equal">
      <formula>5</formula>
    </cfRule>
    <cfRule type="cellIs" dxfId="484" priority="724" operator="equal">
      <formula>4</formula>
    </cfRule>
    <cfRule type="cellIs" dxfId="483" priority="725" operator="equal">
      <formula>3</formula>
    </cfRule>
    <cfRule type="cellIs" dxfId="482" priority="726" operator="equal">
      <formula>2</formula>
    </cfRule>
  </conditionalFormatting>
  <conditionalFormatting sqref="L50">
    <cfRule type="cellIs" dxfId="481" priority="722" operator="equal">
      <formula>1</formula>
    </cfRule>
  </conditionalFormatting>
  <conditionalFormatting sqref="L25">
    <cfRule type="cellIs" dxfId="480" priority="718" operator="equal">
      <formula>5</formula>
    </cfRule>
    <cfRule type="cellIs" dxfId="479" priority="719" operator="equal">
      <formula>4</formula>
    </cfRule>
    <cfRule type="cellIs" dxfId="478" priority="720" operator="equal">
      <formula>3</formula>
    </cfRule>
    <cfRule type="cellIs" dxfId="477" priority="721" operator="equal">
      <formula>2</formula>
    </cfRule>
  </conditionalFormatting>
  <conditionalFormatting sqref="L25">
    <cfRule type="cellIs" dxfId="476" priority="717" operator="equal">
      <formula>1</formula>
    </cfRule>
  </conditionalFormatting>
  <conditionalFormatting sqref="L46">
    <cfRule type="cellIs" dxfId="475" priority="713" operator="equal">
      <formula>5</formula>
    </cfRule>
    <cfRule type="cellIs" dxfId="474" priority="714" operator="equal">
      <formula>4</formula>
    </cfRule>
    <cfRule type="cellIs" dxfId="473" priority="715" operator="equal">
      <formula>3</formula>
    </cfRule>
    <cfRule type="cellIs" dxfId="472" priority="716" operator="equal">
      <formula>2</formula>
    </cfRule>
  </conditionalFormatting>
  <conditionalFormatting sqref="L46">
    <cfRule type="cellIs" dxfId="471" priority="712" operator="equal">
      <formula>1</formula>
    </cfRule>
  </conditionalFormatting>
  <conditionalFormatting sqref="L43">
    <cfRule type="cellIs" dxfId="470" priority="708" operator="equal">
      <formula>5</formula>
    </cfRule>
    <cfRule type="cellIs" dxfId="469" priority="709" operator="equal">
      <formula>4</formula>
    </cfRule>
    <cfRule type="cellIs" dxfId="468" priority="710" operator="equal">
      <formula>3</formula>
    </cfRule>
    <cfRule type="cellIs" dxfId="467" priority="711" operator="equal">
      <formula>2</formula>
    </cfRule>
  </conditionalFormatting>
  <conditionalFormatting sqref="L43">
    <cfRule type="cellIs" dxfId="466" priority="707" operator="equal">
      <formula>1</formula>
    </cfRule>
  </conditionalFormatting>
  <conditionalFormatting sqref="L47">
    <cfRule type="cellIs" dxfId="465" priority="703" operator="equal">
      <formula>5</formula>
    </cfRule>
    <cfRule type="cellIs" dxfId="464" priority="704" operator="equal">
      <formula>4</formula>
    </cfRule>
    <cfRule type="cellIs" dxfId="463" priority="705" operator="equal">
      <formula>3</formula>
    </cfRule>
    <cfRule type="cellIs" dxfId="462" priority="706" operator="equal">
      <formula>2</formula>
    </cfRule>
  </conditionalFormatting>
  <conditionalFormatting sqref="L47">
    <cfRule type="cellIs" dxfId="461" priority="702" operator="equal">
      <formula>1</formula>
    </cfRule>
  </conditionalFormatting>
  <conditionalFormatting sqref="L33">
    <cfRule type="cellIs" dxfId="460" priority="698" operator="equal">
      <formula>5</formula>
    </cfRule>
    <cfRule type="cellIs" dxfId="459" priority="699" operator="equal">
      <formula>4</formula>
    </cfRule>
    <cfRule type="cellIs" dxfId="458" priority="700" operator="equal">
      <formula>3</formula>
    </cfRule>
    <cfRule type="cellIs" dxfId="457" priority="701" operator="equal">
      <formula>2</formula>
    </cfRule>
  </conditionalFormatting>
  <conditionalFormatting sqref="L33">
    <cfRule type="cellIs" dxfId="456" priority="697" operator="equal">
      <formula>1</formula>
    </cfRule>
  </conditionalFormatting>
  <conditionalFormatting sqref="L38">
    <cfRule type="cellIs" dxfId="455" priority="693" operator="equal">
      <formula>5</formula>
    </cfRule>
    <cfRule type="cellIs" dxfId="454" priority="694" operator="equal">
      <formula>4</formula>
    </cfRule>
    <cfRule type="cellIs" dxfId="453" priority="695" operator="equal">
      <formula>3</formula>
    </cfRule>
    <cfRule type="cellIs" dxfId="452" priority="696" operator="equal">
      <formula>2</formula>
    </cfRule>
  </conditionalFormatting>
  <conditionalFormatting sqref="L38">
    <cfRule type="cellIs" dxfId="451" priority="692" operator="equal">
      <formula>1</formula>
    </cfRule>
  </conditionalFormatting>
  <conditionalFormatting sqref="L42">
    <cfRule type="cellIs" dxfId="450" priority="688" operator="equal">
      <formula>5</formula>
    </cfRule>
    <cfRule type="cellIs" dxfId="449" priority="689" operator="equal">
      <formula>4</formula>
    </cfRule>
    <cfRule type="cellIs" dxfId="448" priority="690" operator="equal">
      <formula>3</formula>
    </cfRule>
    <cfRule type="cellIs" dxfId="447" priority="691" operator="equal">
      <formula>2</formula>
    </cfRule>
  </conditionalFormatting>
  <conditionalFormatting sqref="L42">
    <cfRule type="cellIs" dxfId="446" priority="687" operator="equal">
      <formula>1</formula>
    </cfRule>
  </conditionalFormatting>
  <conditionalFormatting sqref="L49">
    <cfRule type="cellIs" dxfId="445" priority="673" operator="equal">
      <formula>5</formula>
    </cfRule>
    <cfRule type="cellIs" dxfId="444" priority="674" operator="equal">
      <formula>4</formula>
    </cfRule>
    <cfRule type="cellIs" dxfId="443" priority="675" operator="equal">
      <formula>3</formula>
    </cfRule>
    <cfRule type="cellIs" dxfId="442" priority="676" operator="equal">
      <formula>2</formula>
    </cfRule>
  </conditionalFormatting>
  <conditionalFormatting sqref="L49">
    <cfRule type="cellIs" dxfId="441" priority="672" operator="equal">
      <formula>1</formula>
    </cfRule>
  </conditionalFormatting>
  <conditionalFormatting sqref="L41">
    <cfRule type="cellIs" dxfId="440" priority="683" operator="equal">
      <formula>5</formula>
    </cfRule>
    <cfRule type="cellIs" dxfId="439" priority="684" operator="equal">
      <formula>4</formula>
    </cfRule>
    <cfRule type="cellIs" dxfId="438" priority="685" operator="equal">
      <formula>3</formula>
    </cfRule>
    <cfRule type="cellIs" dxfId="437" priority="686" operator="equal">
      <formula>2</formula>
    </cfRule>
  </conditionalFormatting>
  <conditionalFormatting sqref="L41">
    <cfRule type="cellIs" dxfId="436" priority="682" operator="equal">
      <formula>1</formula>
    </cfRule>
  </conditionalFormatting>
  <conditionalFormatting sqref="L13">
    <cfRule type="cellIs" dxfId="435" priority="678" operator="equal">
      <formula>5</formula>
    </cfRule>
    <cfRule type="cellIs" dxfId="434" priority="679" operator="equal">
      <formula>4</formula>
    </cfRule>
    <cfRule type="cellIs" dxfId="433" priority="680" operator="equal">
      <formula>3</formula>
    </cfRule>
    <cfRule type="cellIs" dxfId="432" priority="681" operator="equal">
      <formula>2</formula>
    </cfRule>
  </conditionalFormatting>
  <conditionalFormatting sqref="L13">
    <cfRule type="cellIs" dxfId="431" priority="677" operator="equal">
      <formula>1</formula>
    </cfRule>
  </conditionalFormatting>
  <conditionalFormatting sqref="L37">
    <cfRule type="cellIs" dxfId="430" priority="663" operator="equal">
      <formula>5</formula>
    </cfRule>
    <cfRule type="cellIs" dxfId="429" priority="664" operator="equal">
      <formula>4</formula>
    </cfRule>
    <cfRule type="cellIs" dxfId="428" priority="665" operator="equal">
      <formula>3</formula>
    </cfRule>
    <cfRule type="cellIs" dxfId="427" priority="666" operator="equal">
      <formula>2</formula>
    </cfRule>
  </conditionalFormatting>
  <conditionalFormatting sqref="L37">
    <cfRule type="cellIs" dxfId="426" priority="662" operator="equal">
      <formula>1</formula>
    </cfRule>
  </conditionalFormatting>
  <conditionalFormatting sqref="L34">
    <cfRule type="cellIs" dxfId="425" priority="668" operator="equal">
      <formula>5</formula>
    </cfRule>
    <cfRule type="cellIs" dxfId="424" priority="669" operator="equal">
      <formula>4</formula>
    </cfRule>
    <cfRule type="cellIs" dxfId="423" priority="670" operator="equal">
      <formula>3</formula>
    </cfRule>
    <cfRule type="cellIs" dxfId="422" priority="671" operator="equal">
      <formula>2</formula>
    </cfRule>
  </conditionalFormatting>
  <conditionalFormatting sqref="L34">
    <cfRule type="cellIs" dxfId="421" priority="667" operator="equal">
      <formula>1</formula>
    </cfRule>
  </conditionalFormatting>
  <conditionalFormatting sqref="L36">
    <cfRule type="cellIs" dxfId="420" priority="658" operator="equal">
      <formula>5</formula>
    </cfRule>
    <cfRule type="cellIs" dxfId="419" priority="659" operator="equal">
      <formula>4</formula>
    </cfRule>
    <cfRule type="cellIs" dxfId="418" priority="660" operator="equal">
      <formula>3</formula>
    </cfRule>
    <cfRule type="cellIs" dxfId="417" priority="661" operator="equal">
      <formula>2</formula>
    </cfRule>
  </conditionalFormatting>
  <conditionalFormatting sqref="L36">
    <cfRule type="cellIs" dxfId="416" priority="657" operator="equal">
      <formula>1</formula>
    </cfRule>
  </conditionalFormatting>
  <conditionalFormatting sqref="L12">
    <cfRule type="cellIs" dxfId="415" priority="653" operator="equal">
      <formula>5</formula>
    </cfRule>
    <cfRule type="cellIs" dxfId="414" priority="654" operator="equal">
      <formula>4</formula>
    </cfRule>
    <cfRule type="cellIs" dxfId="413" priority="655" operator="equal">
      <formula>3</formula>
    </cfRule>
    <cfRule type="cellIs" dxfId="412" priority="656" operator="equal">
      <formula>2</formula>
    </cfRule>
  </conditionalFormatting>
  <conditionalFormatting sqref="L12">
    <cfRule type="cellIs" dxfId="411" priority="652" operator="equal">
      <formula>1</formula>
    </cfRule>
  </conditionalFormatting>
  <conditionalFormatting sqref="L11">
    <cfRule type="cellIs" dxfId="410" priority="648" operator="equal">
      <formula>5</formula>
    </cfRule>
    <cfRule type="cellIs" dxfId="409" priority="649" operator="equal">
      <formula>4</formula>
    </cfRule>
    <cfRule type="cellIs" dxfId="408" priority="650" operator="equal">
      <formula>3</formula>
    </cfRule>
    <cfRule type="cellIs" dxfId="407" priority="651" operator="equal">
      <formula>2</formula>
    </cfRule>
  </conditionalFormatting>
  <conditionalFormatting sqref="L11">
    <cfRule type="cellIs" dxfId="406" priority="647" operator="equal">
      <formula>1</formula>
    </cfRule>
  </conditionalFormatting>
  <conditionalFormatting sqref="L9">
    <cfRule type="cellIs" dxfId="405" priority="638" operator="equal">
      <formula>5</formula>
    </cfRule>
    <cfRule type="cellIs" dxfId="404" priority="639" operator="equal">
      <formula>4</formula>
    </cfRule>
    <cfRule type="cellIs" dxfId="403" priority="640" operator="equal">
      <formula>3</formula>
    </cfRule>
    <cfRule type="cellIs" dxfId="402" priority="641" operator="equal">
      <formula>2</formula>
    </cfRule>
  </conditionalFormatting>
  <conditionalFormatting sqref="L9">
    <cfRule type="cellIs" dxfId="401" priority="637" operator="equal">
      <formula>1</formula>
    </cfRule>
  </conditionalFormatting>
  <conditionalFormatting sqref="L40">
    <cfRule type="cellIs" dxfId="400" priority="633" operator="equal">
      <formula>5</formula>
    </cfRule>
    <cfRule type="cellIs" dxfId="399" priority="634" operator="equal">
      <formula>4</formula>
    </cfRule>
    <cfRule type="cellIs" dxfId="398" priority="635" operator="equal">
      <formula>3</formula>
    </cfRule>
    <cfRule type="cellIs" dxfId="397" priority="636" operator="equal">
      <formula>2</formula>
    </cfRule>
  </conditionalFormatting>
  <conditionalFormatting sqref="L40">
    <cfRule type="cellIs" dxfId="396" priority="632" operator="equal">
      <formula>1</formula>
    </cfRule>
  </conditionalFormatting>
  <conditionalFormatting sqref="L24">
    <cfRule type="cellIs" dxfId="395" priority="628" operator="equal">
      <formula>5</formula>
    </cfRule>
    <cfRule type="cellIs" dxfId="394" priority="629" operator="equal">
      <formula>4</formula>
    </cfRule>
    <cfRule type="cellIs" dxfId="393" priority="630" operator="equal">
      <formula>3</formula>
    </cfRule>
    <cfRule type="cellIs" dxfId="392" priority="631" operator="equal">
      <formula>2</formula>
    </cfRule>
  </conditionalFormatting>
  <conditionalFormatting sqref="L24">
    <cfRule type="cellIs" dxfId="391" priority="627" operator="equal">
      <formula>1</formula>
    </cfRule>
  </conditionalFormatting>
  <conditionalFormatting sqref="L32">
    <cfRule type="cellIs" dxfId="390" priority="623" operator="equal">
      <formula>5</formula>
    </cfRule>
    <cfRule type="cellIs" dxfId="389" priority="624" operator="equal">
      <formula>4</formula>
    </cfRule>
    <cfRule type="cellIs" dxfId="388" priority="625" operator="equal">
      <formula>3</formula>
    </cfRule>
    <cfRule type="cellIs" dxfId="387" priority="626" operator="equal">
      <formula>2</formula>
    </cfRule>
  </conditionalFormatting>
  <conditionalFormatting sqref="L32">
    <cfRule type="cellIs" dxfId="386" priority="622" operator="equal">
      <formula>1</formula>
    </cfRule>
  </conditionalFormatting>
  <conditionalFormatting sqref="L39">
    <cfRule type="cellIs" dxfId="385" priority="618" operator="equal">
      <formula>5</formula>
    </cfRule>
    <cfRule type="cellIs" dxfId="384" priority="619" operator="equal">
      <formula>4</formula>
    </cfRule>
    <cfRule type="cellIs" dxfId="383" priority="620" operator="equal">
      <formula>3</formula>
    </cfRule>
    <cfRule type="cellIs" dxfId="382" priority="621" operator="equal">
      <formula>2</formula>
    </cfRule>
  </conditionalFormatting>
  <conditionalFormatting sqref="L39">
    <cfRule type="cellIs" dxfId="381" priority="617" operator="equal">
      <formula>1</formula>
    </cfRule>
  </conditionalFormatting>
  <conditionalFormatting sqref="L29">
    <cfRule type="cellIs" dxfId="380" priority="613" operator="equal">
      <formula>5</formula>
    </cfRule>
    <cfRule type="cellIs" dxfId="379" priority="614" operator="equal">
      <formula>4</formula>
    </cfRule>
    <cfRule type="cellIs" dxfId="378" priority="615" operator="equal">
      <formula>3</formula>
    </cfRule>
    <cfRule type="cellIs" dxfId="377" priority="616" operator="equal">
      <formula>2</formula>
    </cfRule>
  </conditionalFormatting>
  <conditionalFormatting sqref="L29">
    <cfRule type="cellIs" dxfId="376" priority="612" operator="equal">
      <formula>1</formula>
    </cfRule>
  </conditionalFormatting>
  <conditionalFormatting sqref="L35">
    <cfRule type="cellIs" dxfId="375" priority="608" operator="equal">
      <formula>5</formula>
    </cfRule>
    <cfRule type="cellIs" dxfId="374" priority="609" operator="equal">
      <formula>4</formula>
    </cfRule>
    <cfRule type="cellIs" dxfId="373" priority="610" operator="equal">
      <formula>3</formula>
    </cfRule>
    <cfRule type="cellIs" dxfId="372" priority="611" operator="equal">
      <formula>2</formula>
    </cfRule>
  </conditionalFormatting>
  <conditionalFormatting sqref="L35">
    <cfRule type="cellIs" dxfId="371" priority="607" operator="equal">
      <formula>1</formula>
    </cfRule>
  </conditionalFormatting>
  <conditionalFormatting sqref="L23">
    <cfRule type="cellIs" dxfId="370" priority="603" operator="equal">
      <formula>5</formula>
    </cfRule>
    <cfRule type="cellIs" dxfId="369" priority="604" operator="equal">
      <formula>4</formula>
    </cfRule>
    <cfRule type="cellIs" dxfId="368" priority="605" operator="equal">
      <formula>3</formula>
    </cfRule>
    <cfRule type="cellIs" dxfId="367" priority="606" operator="equal">
      <formula>2</formula>
    </cfRule>
  </conditionalFormatting>
  <conditionalFormatting sqref="L23">
    <cfRule type="cellIs" dxfId="366" priority="602" operator="equal">
      <formula>1</formula>
    </cfRule>
  </conditionalFormatting>
  <conditionalFormatting sqref="L48">
    <cfRule type="cellIs" dxfId="365" priority="598" operator="equal">
      <formula>5</formula>
    </cfRule>
    <cfRule type="cellIs" dxfId="364" priority="599" operator="equal">
      <formula>4</formula>
    </cfRule>
    <cfRule type="cellIs" dxfId="363" priority="600" operator="equal">
      <formula>3</formula>
    </cfRule>
    <cfRule type="cellIs" dxfId="362" priority="601" operator="equal">
      <formula>2</formula>
    </cfRule>
  </conditionalFormatting>
  <conditionalFormatting sqref="L48">
    <cfRule type="cellIs" dxfId="361" priority="597" operator="equal">
      <formula>1</formula>
    </cfRule>
  </conditionalFormatting>
  <conditionalFormatting sqref="L10">
    <cfRule type="cellIs" dxfId="360" priority="593" operator="equal">
      <formula>5</formula>
    </cfRule>
    <cfRule type="cellIs" dxfId="359" priority="594" operator="equal">
      <formula>4</formula>
    </cfRule>
    <cfRule type="cellIs" dxfId="358" priority="595" operator="equal">
      <formula>3</formula>
    </cfRule>
    <cfRule type="cellIs" dxfId="357" priority="596" operator="equal">
      <formula>2</formula>
    </cfRule>
  </conditionalFormatting>
  <conditionalFormatting sqref="L10">
    <cfRule type="cellIs" dxfId="356" priority="592" operator="equal">
      <formula>1</formula>
    </cfRule>
  </conditionalFormatting>
  <conditionalFormatting sqref="L20">
    <cfRule type="cellIs" dxfId="355" priority="588" operator="equal">
      <formula>5</formula>
    </cfRule>
    <cfRule type="cellIs" dxfId="354" priority="589" operator="equal">
      <formula>4</formula>
    </cfRule>
    <cfRule type="cellIs" dxfId="353" priority="590" operator="equal">
      <formula>3</formula>
    </cfRule>
    <cfRule type="cellIs" dxfId="352" priority="591" operator="equal">
      <formula>2</formula>
    </cfRule>
  </conditionalFormatting>
  <conditionalFormatting sqref="L20">
    <cfRule type="cellIs" dxfId="351" priority="587" operator="equal">
      <formula>1</formula>
    </cfRule>
  </conditionalFormatting>
  <conditionalFormatting sqref="L30">
    <cfRule type="cellIs" dxfId="350" priority="583" operator="equal">
      <formula>5</formula>
    </cfRule>
    <cfRule type="cellIs" dxfId="349" priority="584" operator="equal">
      <formula>4</formula>
    </cfRule>
    <cfRule type="cellIs" dxfId="348" priority="585" operator="equal">
      <formula>3</formula>
    </cfRule>
    <cfRule type="cellIs" dxfId="347" priority="586" operator="equal">
      <formula>2</formula>
    </cfRule>
  </conditionalFormatting>
  <conditionalFormatting sqref="L30">
    <cfRule type="cellIs" dxfId="346" priority="582" operator="equal">
      <formula>1</formula>
    </cfRule>
  </conditionalFormatting>
  <conditionalFormatting sqref="M45 M26 M17">
    <cfRule type="cellIs" dxfId="345" priority="580" operator="equal">
      <formula>"Medium Tolerance"</formula>
    </cfRule>
    <cfRule type="cellIs" dxfId="344" priority="581" operator="equal">
      <formula>"Limited Tolerance"</formula>
    </cfRule>
  </conditionalFormatting>
  <conditionalFormatting sqref="M45 M26 M17">
    <cfRule type="cellIs" dxfId="343" priority="579" operator="equal">
      <formula>"No Tolerance"</formula>
    </cfRule>
  </conditionalFormatting>
  <conditionalFormatting sqref="N53">
    <cfRule type="containsText" dxfId="342" priority="578" operator="containsText" text="Reconsider Tolerance">
      <formula>NOT(ISERROR(SEARCH("Reconsider Tolerance",N53)))</formula>
    </cfRule>
  </conditionalFormatting>
  <conditionalFormatting sqref="M45 M26 M17">
    <cfRule type="cellIs" dxfId="341" priority="576" operator="equal">
      <formula>"Maximum Tolerance"</formula>
    </cfRule>
    <cfRule type="cellIs" dxfId="340" priority="577" operator="equal">
      <formula>"Good Tolerance"</formula>
    </cfRule>
  </conditionalFormatting>
  <conditionalFormatting sqref="N45 N26 N17">
    <cfRule type="cellIs" dxfId="339" priority="572" operator="equal">
      <formula>5</formula>
    </cfRule>
    <cfRule type="cellIs" dxfId="338" priority="573" operator="equal">
      <formula>4</formula>
    </cfRule>
    <cfRule type="cellIs" dxfId="337" priority="574" operator="equal">
      <formula>3</formula>
    </cfRule>
    <cfRule type="cellIs" dxfId="336" priority="575" operator="equal">
      <formula>2</formula>
    </cfRule>
  </conditionalFormatting>
  <conditionalFormatting sqref="N45 N26 N17">
    <cfRule type="cellIs" dxfId="335" priority="571" operator="equal">
      <formula>1</formula>
    </cfRule>
  </conditionalFormatting>
  <conditionalFormatting sqref="M7:N7">
    <cfRule type="cellIs" dxfId="334" priority="569" operator="equal">
      <formula>"Medium Tolerance"</formula>
    </cfRule>
    <cfRule type="cellIs" dxfId="333" priority="570" operator="equal">
      <formula>"Limited Tolerance"</formula>
    </cfRule>
  </conditionalFormatting>
  <conditionalFormatting sqref="M7:N7">
    <cfRule type="cellIs" dxfId="332" priority="568" operator="equal">
      <formula>"No Tolerance"</formula>
    </cfRule>
  </conditionalFormatting>
  <conditionalFormatting sqref="M7:N7">
    <cfRule type="cellIs" dxfId="331" priority="566" operator="equal">
      <formula>"Maximum Tolerance"</formula>
    </cfRule>
    <cfRule type="cellIs" dxfId="330" priority="567" operator="equal">
      <formula>"Good Tolerance"</formula>
    </cfRule>
  </conditionalFormatting>
  <conditionalFormatting sqref="N9:N16">
    <cfRule type="cellIs" dxfId="329" priority="209" operator="equal">
      <formula>"Medium Tolerance"</formula>
    </cfRule>
    <cfRule type="cellIs" dxfId="328" priority="210" operator="equal">
      <formula>"Limited Tolerance"</formula>
    </cfRule>
  </conditionalFormatting>
  <conditionalFormatting sqref="N9:N16">
    <cfRule type="cellIs" dxfId="327" priority="208" operator="equal">
      <formula>"No Tolerance"</formula>
    </cfRule>
  </conditionalFormatting>
  <conditionalFormatting sqref="N9:N16">
    <cfRule type="cellIs" dxfId="326" priority="206" operator="equal">
      <formula>"Maximum Tolerance"</formula>
    </cfRule>
    <cfRule type="cellIs" dxfId="325" priority="207" operator="equal">
      <formula>"Good Tolerance"</formula>
    </cfRule>
  </conditionalFormatting>
  <conditionalFormatting sqref="N18:N25">
    <cfRule type="cellIs" dxfId="324" priority="199" operator="equal">
      <formula>"Medium Tolerance"</formula>
    </cfRule>
    <cfRule type="cellIs" dxfId="323" priority="200" operator="equal">
      <formula>"Limited Tolerance"</formula>
    </cfRule>
  </conditionalFormatting>
  <conditionalFormatting sqref="N18:N25">
    <cfRule type="cellIs" dxfId="322" priority="198" operator="equal">
      <formula>"No Tolerance"</formula>
    </cfRule>
  </conditionalFormatting>
  <conditionalFormatting sqref="N18:N25">
    <cfRule type="cellIs" dxfId="321" priority="196" operator="equal">
      <formula>"Maximum Tolerance"</formula>
    </cfRule>
    <cfRule type="cellIs" dxfId="320" priority="197" operator="equal">
      <formula>"Good Tolerance"</formula>
    </cfRule>
  </conditionalFormatting>
  <conditionalFormatting sqref="M9:M16">
    <cfRule type="cellIs" dxfId="319" priority="214" operator="equal">
      <formula>"Medium Tolerance"</formula>
    </cfRule>
    <cfRule type="cellIs" dxfId="318" priority="215" operator="equal">
      <formula>"Limited Tolerance"</formula>
    </cfRule>
  </conditionalFormatting>
  <conditionalFormatting sqref="M9:M16">
    <cfRule type="cellIs" dxfId="317" priority="213" operator="equal">
      <formula>"No Tolerance"</formula>
    </cfRule>
  </conditionalFormatting>
  <conditionalFormatting sqref="M9:M16">
    <cfRule type="cellIs" dxfId="316" priority="211" operator="equal">
      <formula>"Maximum Tolerance"</formula>
    </cfRule>
    <cfRule type="cellIs" dxfId="315" priority="212" operator="equal">
      <formula>"Good Tolerance"</formula>
    </cfRule>
  </conditionalFormatting>
  <conditionalFormatting sqref="M18:M25">
    <cfRule type="cellIs" dxfId="314" priority="204" operator="equal">
      <formula>"Medium Tolerance"</formula>
    </cfRule>
    <cfRule type="cellIs" dxfId="313" priority="205" operator="equal">
      <formula>"Limited Tolerance"</formula>
    </cfRule>
  </conditionalFormatting>
  <conditionalFormatting sqref="M18:M25">
    <cfRule type="cellIs" dxfId="312" priority="203" operator="equal">
      <formula>"No Tolerance"</formula>
    </cfRule>
  </conditionalFormatting>
  <conditionalFormatting sqref="M18:M25">
    <cfRule type="cellIs" dxfId="311" priority="201" operator="equal">
      <formula>"Maximum Tolerance"</formula>
    </cfRule>
    <cfRule type="cellIs" dxfId="310" priority="202" operator="equal">
      <formula>"Good Tolerance"</formula>
    </cfRule>
  </conditionalFormatting>
  <conditionalFormatting sqref="K8:K9 K11:K16">
    <cfRule type="cellIs" dxfId="309" priority="167" operator="equal">
      <formula>5</formula>
    </cfRule>
    <cfRule type="cellIs" dxfId="308" priority="168" operator="equal">
      <formula>4</formula>
    </cfRule>
    <cfRule type="cellIs" dxfId="307" priority="169" operator="equal">
      <formula>3</formula>
    </cfRule>
    <cfRule type="cellIs" dxfId="306" priority="170" operator="equal">
      <formula>2</formula>
    </cfRule>
  </conditionalFormatting>
  <conditionalFormatting sqref="K8:K9 K11:K16">
    <cfRule type="cellIs" dxfId="305" priority="166" operator="equal">
      <formula>1</formula>
    </cfRule>
  </conditionalFormatting>
  <conditionalFormatting sqref="K10">
    <cfRule type="cellIs" dxfId="304" priority="157" operator="equal">
      <formula>5</formula>
    </cfRule>
    <cfRule type="cellIs" dxfId="303" priority="158" operator="equal">
      <formula>4</formula>
    </cfRule>
    <cfRule type="cellIs" dxfId="302" priority="159" operator="equal">
      <formula>3</formula>
    </cfRule>
    <cfRule type="cellIs" dxfId="301" priority="160" operator="equal">
      <formula>2</formula>
    </cfRule>
  </conditionalFormatting>
  <conditionalFormatting sqref="K10">
    <cfRule type="cellIs" dxfId="300" priority="156" operator="equal">
      <formula>1</formula>
    </cfRule>
  </conditionalFormatting>
  <conditionalFormatting sqref="K18:K25">
    <cfRule type="cellIs" dxfId="299" priority="147" operator="equal">
      <formula>5</formula>
    </cfRule>
    <cfRule type="cellIs" dxfId="298" priority="148" operator="equal">
      <formula>4</formula>
    </cfRule>
    <cfRule type="cellIs" dxfId="297" priority="149" operator="equal">
      <formula>3</formula>
    </cfRule>
    <cfRule type="cellIs" dxfId="296" priority="150" operator="equal">
      <formula>2</formula>
    </cfRule>
  </conditionalFormatting>
  <conditionalFormatting sqref="K18:K25">
    <cfRule type="cellIs" dxfId="295" priority="146" operator="equal">
      <formula>1</formula>
    </cfRule>
  </conditionalFormatting>
  <conditionalFormatting sqref="E8:E16">
    <cfRule type="cellIs" dxfId="294" priority="124" operator="equal">
      <formula>"Medium Tolerance"</formula>
    </cfRule>
    <cfRule type="cellIs" dxfId="293" priority="125" operator="equal">
      <formula>"Limited Tolerance"</formula>
    </cfRule>
  </conditionalFormatting>
  <conditionalFormatting sqref="E8:E16">
    <cfRule type="cellIs" dxfId="292" priority="123" operator="equal">
      <formula>"No Tolerance"</formula>
    </cfRule>
  </conditionalFormatting>
  <conditionalFormatting sqref="E8:E16">
    <cfRule type="cellIs" dxfId="291" priority="121" operator="equal">
      <formula>"Maximum Tolerance"</formula>
    </cfRule>
    <cfRule type="cellIs" dxfId="290" priority="122" operator="equal">
      <formula>"Good Tolerance"</formula>
    </cfRule>
  </conditionalFormatting>
  <conditionalFormatting sqref="F8:F16">
    <cfRule type="cellIs" dxfId="289" priority="117" operator="equal">
      <formula>5</formula>
    </cfRule>
    <cfRule type="cellIs" dxfId="288" priority="118" operator="equal">
      <formula>4</formula>
    </cfRule>
    <cfRule type="cellIs" dxfId="287" priority="119" operator="equal">
      <formula>3</formula>
    </cfRule>
    <cfRule type="cellIs" dxfId="286" priority="120" operator="equal">
      <formula>2</formula>
    </cfRule>
  </conditionalFormatting>
  <conditionalFormatting sqref="F8:F16">
    <cfRule type="cellIs" dxfId="285" priority="116" operator="equal">
      <formula>1</formula>
    </cfRule>
  </conditionalFormatting>
  <conditionalFormatting sqref="E18:E25">
    <cfRule type="cellIs" dxfId="284" priority="114" operator="equal">
      <formula>"Medium Tolerance"</formula>
    </cfRule>
    <cfRule type="cellIs" dxfId="283" priority="115" operator="equal">
      <formula>"Limited Tolerance"</formula>
    </cfRule>
  </conditionalFormatting>
  <conditionalFormatting sqref="E18:E25">
    <cfRule type="cellIs" dxfId="282" priority="113" operator="equal">
      <formula>"No Tolerance"</formula>
    </cfRule>
  </conditionalFormatting>
  <conditionalFormatting sqref="E18:E25">
    <cfRule type="cellIs" dxfId="281" priority="111" operator="equal">
      <formula>"Maximum Tolerance"</formula>
    </cfRule>
    <cfRule type="cellIs" dxfId="280" priority="112" operator="equal">
      <formula>"Good Tolerance"</formula>
    </cfRule>
  </conditionalFormatting>
  <conditionalFormatting sqref="F18:F25">
    <cfRule type="cellIs" dxfId="279" priority="107" operator="equal">
      <formula>5</formula>
    </cfRule>
    <cfRule type="cellIs" dxfId="278" priority="108" operator="equal">
      <formula>4</formula>
    </cfRule>
    <cfRule type="cellIs" dxfId="277" priority="109" operator="equal">
      <formula>3</formula>
    </cfRule>
    <cfRule type="cellIs" dxfId="276" priority="110" operator="equal">
      <formula>2</formula>
    </cfRule>
  </conditionalFormatting>
  <conditionalFormatting sqref="F18:F25">
    <cfRule type="cellIs" dxfId="275" priority="106" operator="equal">
      <formula>1</formula>
    </cfRule>
  </conditionalFormatting>
  <conditionalFormatting sqref="G7:G51">
    <cfRule type="beginsWith" dxfId="274" priority="76" operator="beginsWith" text="Low">
      <formula>LEFT(G7,LEN("Low"))="Low"</formula>
    </cfRule>
    <cfRule type="beginsWith" dxfId="273" priority="77" operator="beginsWith" text="Very low">
      <formula>LEFT(G7,LEN("Very low"))="Very low"</formula>
    </cfRule>
    <cfRule type="beginsWith" dxfId="272" priority="78" operator="beginsWith" text="Very high">
      <formula>LEFT(G7,LEN("Very high"))="Very high"</formula>
    </cfRule>
    <cfRule type="beginsWith" dxfId="271" priority="79" operator="beginsWith" text="High">
      <formula>LEFT(G7,LEN("High"))="High"</formula>
    </cfRule>
    <cfRule type="beginsWith" dxfId="270" priority="80" operator="beginsWith" text="Moderate">
      <formula>LEFT(G7,LEN("Moderate"))="Moderate"</formula>
    </cfRule>
  </conditionalFormatting>
  <conditionalFormatting sqref="P7:P16">
    <cfRule type="beginsWith" dxfId="269" priority="71" operator="beginsWith" text="Low">
      <formula>LEFT(P7,LEN("Low"))="Low"</formula>
    </cfRule>
    <cfRule type="beginsWith" dxfId="268" priority="72" operator="beginsWith" text="Very low">
      <formula>LEFT(P7,LEN("Very low"))="Very low"</formula>
    </cfRule>
    <cfRule type="beginsWith" dxfId="267" priority="73" operator="beginsWith" text="Very high">
      <formula>LEFT(P7,LEN("Very high"))="Very high"</formula>
    </cfRule>
    <cfRule type="beginsWith" dxfId="266" priority="74" operator="beginsWith" text="High">
      <formula>LEFT(P7,LEN("High"))="High"</formula>
    </cfRule>
    <cfRule type="beginsWith" dxfId="265" priority="75" operator="beginsWith" text="Moderate">
      <formula>LEFT(P7,LEN("Moderate"))="Moderate"</formula>
    </cfRule>
  </conditionalFormatting>
  <conditionalFormatting sqref="P18:P25">
    <cfRule type="beginsWith" dxfId="264" priority="51" operator="beginsWith" text="Low">
      <formula>LEFT(P18,LEN("Low"))="Low"</formula>
    </cfRule>
    <cfRule type="beginsWith" dxfId="263" priority="52" operator="beginsWith" text="Very low">
      <formula>LEFT(P18,LEN("Very low"))="Very low"</formula>
    </cfRule>
    <cfRule type="beginsWith" dxfId="262" priority="53" operator="beginsWith" text="Very high">
      <formula>LEFT(P18,LEN("Very high"))="Very high"</formula>
    </cfRule>
    <cfRule type="beginsWith" dxfId="261" priority="54" operator="beginsWith" text="High">
      <formula>LEFT(P18,LEN("High"))="High"</formula>
    </cfRule>
    <cfRule type="beginsWith" dxfId="260" priority="55" operator="beginsWith" text="Moderate">
      <formula>LEFT(P18,LEN("Moderate"))="Moderate"</formula>
    </cfRule>
  </conditionalFormatting>
  <conditionalFormatting sqref="P27:P44">
    <cfRule type="beginsWith" dxfId="259" priority="46" operator="beginsWith" text="Low">
      <formula>LEFT(P27,LEN("Low"))="Low"</formula>
    </cfRule>
    <cfRule type="beginsWith" dxfId="258" priority="47" operator="beginsWith" text="Very low">
      <formula>LEFT(P27,LEN("Very low"))="Very low"</formula>
    </cfRule>
    <cfRule type="beginsWith" dxfId="257" priority="48" operator="beginsWith" text="Very high">
      <formula>LEFT(P27,LEN("Very high"))="Very high"</formula>
    </cfRule>
    <cfRule type="beginsWith" dxfId="256" priority="49" operator="beginsWith" text="High">
      <formula>LEFT(P27,LEN("High"))="High"</formula>
    </cfRule>
    <cfRule type="beginsWith" dxfId="255" priority="50" operator="beginsWith" text="Moderate">
      <formula>LEFT(P27,LEN("Moderate"))="Moderate"</formula>
    </cfRule>
  </conditionalFormatting>
  <conditionalFormatting sqref="P46:P51">
    <cfRule type="beginsWith" dxfId="254" priority="41" operator="beginsWith" text="Low">
      <formula>LEFT(P46,LEN("Low"))="Low"</formula>
    </cfRule>
    <cfRule type="beginsWith" dxfId="253" priority="42" operator="beginsWith" text="Very low">
      <formula>LEFT(P46,LEN("Very low"))="Very low"</formula>
    </cfRule>
    <cfRule type="beginsWith" dxfId="252" priority="43" operator="beginsWith" text="Very high">
      <formula>LEFT(P46,LEN("Very high"))="Very high"</formula>
    </cfRule>
    <cfRule type="beginsWith" dxfId="251" priority="44" operator="beginsWith" text="High">
      <formula>LEFT(P46,LEN("High"))="High"</formula>
    </cfRule>
    <cfRule type="beginsWith" dxfId="250" priority="45" operator="beginsWith" text="Moderate">
      <formula>LEFT(P46,LEN("Moderate"))="Moderate"</formula>
    </cfRule>
  </conditionalFormatting>
  <conditionalFormatting sqref="J7">
    <cfRule type="cellIs" dxfId="249" priority="39" operator="equal">
      <formula>"Medium Tolerance"</formula>
    </cfRule>
    <cfRule type="cellIs" dxfId="248" priority="40" operator="equal">
      <formula>"Limited Tolerance"</formula>
    </cfRule>
  </conditionalFormatting>
  <conditionalFormatting sqref="J7">
    <cfRule type="cellIs" dxfId="247" priority="38" operator="equal">
      <formula>"No Tolerance"</formula>
    </cfRule>
  </conditionalFormatting>
  <conditionalFormatting sqref="J7">
    <cfRule type="cellIs" dxfId="246" priority="36" operator="equal">
      <formula>"Maximum Tolerance"</formula>
    </cfRule>
    <cfRule type="cellIs" dxfId="245" priority="37" operator="equal">
      <formula>"Good Tolerance"</formula>
    </cfRule>
  </conditionalFormatting>
  <conditionalFormatting sqref="J9:J16">
    <cfRule type="cellIs" dxfId="244" priority="34" operator="equal">
      <formula>"Medium Tolerance"</formula>
    </cfRule>
    <cfRule type="cellIs" dxfId="243" priority="35" operator="equal">
      <formula>"Limited Tolerance"</formula>
    </cfRule>
  </conditionalFormatting>
  <conditionalFormatting sqref="J9:J16">
    <cfRule type="cellIs" dxfId="242" priority="33" operator="equal">
      <formula>"No Tolerance"</formula>
    </cfRule>
  </conditionalFormatting>
  <conditionalFormatting sqref="J9:J16">
    <cfRule type="cellIs" dxfId="241" priority="31" operator="equal">
      <formula>"Maximum Tolerance"</formula>
    </cfRule>
    <cfRule type="cellIs" dxfId="240" priority="32" operator="equal">
      <formula>"Good Tolerance"</formula>
    </cfRule>
  </conditionalFormatting>
  <conditionalFormatting sqref="J8">
    <cfRule type="cellIs" dxfId="239" priority="29" operator="equal">
      <formula>"Medium Tolerance"</formula>
    </cfRule>
    <cfRule type="cellIs" dxfId="238" priority="30" operator="equal">
      <formula>"Limited Tolerance"</formula>
    </cfRule>
  </conditionalFormatting>
  <conditionalFormatting sqref="J8">
    <cfRule type="cellIs" dxfId="237" priority="28" operator="equal">
      <formula>"No Tolerance"</formula>
    </cfRule>
  </conditionalFormatting>
  <conditionalFormatting sqref="J8">
    <cfRule type="cellIs" dxfId="236" priority="26" operator="equal">
      <formula>"Maximum Tolerance"</formula>
    </cfRule>
    <cfRule type="cellIs" dxfId="235" priority="27" operator="equal">
      <formula>"Good Tolerance"</formula>
    </cfRule>
  </conditionalFormatting>
  <conditionalFormatting sqref="J27:J44">
    <cfRule type="cellIs" dxfId="234" priority="24" operator="equal">
      <formula>"Medium Tolerance"</formula>
    </cfRule>
    <cfRule type="cellIs" dxfId="233" priority="25" operator="equal">
      <formula>"Limited Tolerance"</formula>
    </cfRule>
  </conditionalFormatting>
  <conditionalFormatting sqref="J27:J44">
    <cfRule type="cellIs" dxfId="232" priority="23" operator="equal">
      <formula>"No Tolerance"</formula>
    </cfRule>
  </conditionalFormatting>
  <conditionalFormatting sqref="J27:J44">
    <cfRule type="cellIs" dxfId="231" priority="21" operator="equal">
      <formula>"Maximum Tolerance"</formula>
    </cfRule>
    <cfRule type="cellIs" dxfId="230" priority="22" operator="equal">
      <formula>"Good Tolerance"</formula>
    </cfRule>
  </conditionalFormatting>
  <conditionalFormatting sqref="J45 J26">
    <cfRule type="cellIs" dxfId="229" priority="19" operator="equal">
      <formula>"Medium Tolerance"</formula>
    </cfRule>
    <cfRule type="cellIs" dxfId="228" priority="20" operator="equal">
      <formula>"Limited Tolerance"</formula>
    </cfRule>
  </conditionalFormatting>
  <conditionalFormatting sqref="J45 J26">
    <cfRule type="cellIs" dxfId="227" priority="18" operator="equal">
      <formula>"No Tolerance"</formula>
    </cfRule>
  </conditionalFormatting>
  <conditionalFormatting sqref="J45 J26">
    <cfRule type="cellIs" dxfId="226" priority="16" operator="equal">
      <formula>"Maximum Tolerance"</formula>
    </cfRule>
    <cfRule type="cellIs" dxfId="225" priority="17" operator="equal">
      <formula>"Good Tolerance"</formula>
    </cfRule>
  </conditionalFormatting>
  <conditionalFormatting sqref="J18:J25">
    <cfRule type="cellIs" dxfId="224" priority="14" operator="equal">
      <formula>"Medium Tolerance"</formula>
    </cfRule>
    <cfRule type="cellIs" dxfId="223" priority="15" operator="equal">
      <formula>"Limited Tolerance"</formula>
    </cfRule>
  </conditionalFormatting>
  <conditionalFormatting sqref="J18:J25">
    <cfRule type="cellIs" dxfId="222" priority="13" operator="equal">
      <formula>"No Tolerance"</formula>
    </cfRule>
  </conditionalFormatting>
  <conditionalFormatting sqref="J18:J25">
    <cfRule type="cellIs" dxfId="221" priority="11" operator="equal">
      <formula>"Maximum Tolerance"</formula>
    </cfRule>
    <cfRule type="cellIs" dxfId="220" priority="12" operator="equal">
      <formula>"Good Tolerance"</formula>
    </cfRule>
  </conditionalFormatting>
  <conditionalFormatting sqref="N8">
    <cfRule type="cellIs" dxfId="219" priority="4" operator="equal">
      <formula>"Medium Tolerance"</formula>
    </cfRule>
    <cfRule type="cellIs" dxfId="218" priority="5" operator="equal">
      <formula>"Limited Tolerance"</formula>
    </cfRule>
  </conditionalFormatting>
  <conditionalFormatting sqref="N8">
    <cfRule type="cellIs" dxfId="217" priority="3" operator="equal">
      <formula>"No Tolerance"</formula>
    </cfRule>
  </conditionalFormatting>
  <conditionalFormatting sqref="N8">
    <cfRule type="cellIs" dxfId="216" priority="1" operator="equal">
      <formula>"Maximum Tolerance"</formula>
    </cfRule>
    <cfRule type="cellIs" dxfId="215" priority="2" operator="equal">
      <formula>"Good Tolerance"</formula>
    </cfRule>
  </conditionalFormatting>
  <conditionalFormatting sqref="M8">
    <cfRule type="cellIs" dxfId="214" priority="9" operator="equal">
      <formula>"Medium Tolerance"</formula>
    </cfRule>
    <cfRule type="cellIs" dxfId="213" priority="10" operator="equal">
      <formula>"Limited Tolerance"</formula>
    </cfRule>
  </conditionalFormatting>
  <conditionalFormatting sqref="M8">
    <cfRule type="cellIs" dxfId="212" priority="8" operator="equal">
      <formula>"No Tolerance"</formula>
    </cfRule>
  </conditionalFormatting>
  <conditionalFormatting sqref="M8">
    <cfRule type="cellIs" dxfId="211" priority="6" operator="equal">
      <formula>"Maximum Tolerance"</formula>
    </cfRule>
    <cfRule type="cellIs" dxfId="210" priority="7" operator="equal">
      <formula>"Good Tolerance"</formula>
    </cfRule>
  </conditionalFormatting>
  <dataValidations count="4">
    <dataValidation type="list" allowBlank="1" showInputMessage="1" showErrorMessage="1" promptTitle="Tolerance Level" prompt="Please choose Tolerance Level from the drop-down list" sqref="E45 E26 E17 J17" xr:uid="{00000000-0002-0000-0400-000000000000}">
      <formula1>$C$6:$C$10</formula1>
    </dataValidation>
    <dataValidation type="list" allowBlank="1" showInputMessage="1" showErrorMessage="1" promptTitle="Likelihood level selection" prompt="Please choose Likelihood Level from the drop-down list" sqref="E27:E44 E46:E51" xr:uid="{00000000-0002-0000-0400-000001000000}">
      <formula1>$C$6:$C$10</formula1>
    </dataValidation>
    <dataValidation type="list" allowBlank="1" showInputMessage="1" showErrorMessage="1" sqref="F26 F17 K45 L7:L51 K17 K26 F45" xr:uid="{00000000-0002-0000-0400-000002000000}">
      <formula1>$B$10:$B$14</formula1>
    </dataValidation>
    <dataValidation type="list" allowBlank="1" showInputMessage="1" showErrorMessage="1" promptTitle="Risk Impact selection" prompt="Please select risk Impact from drop-down list" sqref="F18:F25 F27:F44 F46:F51" xr:uid="{00000000-0002-0000-0400-000003000000}">
      <formula1>$B$10:$B$14</formula1>
    </dataValidation>
  </dataValidations>
  <pageMargins left="0.70866141732283472" right="0.70866141732283472" top="0.74803149606299213" bottom="0.74803149606299213" header="0.31496062992125984" footer="0.31496062992125984"/>
  <pageSetup scale="45"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promptTitle="Likelihood Level selection" prompt="Please choose Likelihood Level from the drop-down list" xr:uid="{00000000-0002-0000-0400-000004000000}">
          <x14:formula1>
            <xm:f>'Risk Likelihood'!$C$7:$C$11</xm:f>
          </x14:formula1>
          <xm:sqref>E7:E16</xm:sqref>
        </x14:dataValidation>
        <x14:dataValidation type="list" allowBlank="1" showInputMessage="1" showErrorMessage="1" promptTitle="Likelihood level selection" prompt="Please choose Likelihood Level from the drop-down list" xr:uid="{00000000-0002-0000-0400-000005000000}">
          <x14:formula1>
            <xm:f>'Risk Likelihood'!$C$7:$C$11</xm:f>
          </x14:formula1>
          <xm:sqref>E18:E25</xm:sqref>
        </x14:dataValidation>
        <x14:dataValidation type="list" allowBlank="1" showInputMessage="1" showErrorMessage="1" promptTitle="Risk Impact selection" prompt="Please select risk Impact from drop-down list" xr:uid="{00000000-0002-0000-0400-000006000000}">
          <x14:formula1>
            <xm:f>'Impact Definition'!$C$9:$C$13</xm:f>
          </x14:formula1>
          <xm:sqref>F7:F16 K7:K16 K18:K25 K27:K44 K46:K51</xm:sqref>
        </x14:dataValidation>
        <x14:dataValidation type="list" allowBlank="1" showInputMessage="1" showErrorMessage="1" promptTitle="Likelihood Level Selection" prompt="Please choose Likelihood Level from the drop-down list" xr:uid="{00000000-0002-0000-0400-000007000000}">
          <x14:formula1>
            <xm:f>'Risk Likelihood'!$C$7:$C$11</xm:f>
          </x14:formula1>
          <xm:sqref>J7:J16 J18:J46 J48:J51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rgb="FFFF0000"/>
  </sheetPr>
  <dimension ref="A1:AC52"/>
  <sheetViews>
    <sheetView showGridLines="0" zoomScale="80" zoomScaleNormal="80" workbookViewId="0">
      <selection activeCell="L5" sqref="L5"/>
    </sheetView>
  </sheetViews>
  <sheetFormatPr defaultRowHeight="12.3"/>
  <cols>
    <col min="1" max="1" width="7.5546875" customWidth="1"/>
    <col min="2" max="2" width="14.1640625" customWidth="1"/>
    <col min="3" max="3" width="40.1640625" customWidth="1"/>
    <col min="4" max="4" width="88.27734375" customWidth="1"/>
    <col min="5" max="6" width="15.27734375" customWidth="1"/>
    <col min="7" max="7" width="13.27734375" hidden="1" customWidth="1"/>
    <col min="8" max="8" width="49.44140625" customWidth="1"/>
    <col min="9" max="10" width="15.1640625" customWidth="1"/>
    <col min="11" max="11" width="1.5546875" customWidth="1"/>
    <col min="12" max="14" width="17.1640625" customWidth="1"/>
    <col min="15" max="15" width="18.83203125" customWidth="1"/>
  </cols>
  <sheetData>
    <row r="1" spans="1:29" ht="76.5" customHeight="1">
      <c r="B1" s="116" t="s">
        <v>270</v>
      </c>
      <c r="C1" s="4"/>
      <c r="D1" s="4"/>
      <c r="E1" s="5"/>
      <c r="F1" s="5"/>
      <c r="G1" s="5"/>
      <c r="H1" s="4"/>
      <c r="I1" s="5"/>
      <c r="J1" s="5"/>
      <c r="K1" s="5"/>
      <c r="L1" s="5"/>
      <c r="M1" s="5"/>
      <c r="N1" s="5"/>
      <c r="AA1" s="112" t="s">
        <v>87</v>
      </c>
    </row>
    <row r="2" spans="1:29" ht="12.75" customHeight="1">
      <c r="A2" s="96"/>
      <c r="B2" s="97"/>
      <c r="C2" s="97"/>
      <c r="D2" s="97"/>
      <c r="E2" s="98"/>
      <c r="F2" s="98"/>
      <c r="G2" s="98"/>
      <c r="H2" s="97"/>
      <c r="I2" s="98"/>
      <c r="J2" s="98"/>
      <c r="K2" s="98"/>
      <c r="L2" s="98"/>
      <c r="M2" s="98"/>
      <c r="N2" s="98"/>
    </row>
    <row r="3" spans="1:29" ht="35.25" customHeight="1">
      <c r="A3" s="3"/>
      <c r="B3" s="6"/>
      <c r="C3" s="6"/>
      <c r="D3" s="6"/>
      <c r="E3" s="7"/>
      <c r="H3" s="142" t="s">
        <v>44</v>
      </c>
      <c r="I3" s="143"/>
      <c r="J3" s="143"/>
      <c r="K3" s="117"/>
      <c r="L3" s="144" t="s">
        <v>46</v>
      </c>
      <c r="M3" s="143"/>
      <c r="AA3" s="141" t="s">
        <v>92</v>
      </c>
      <c r="AB3" s="141"/>
      <c r="AC3" s="141"/>
    </row>
    <row r="4" spans="1:29" ht="36.9" thickBot="1">
      <c r="A4" s="3"/>
      <c r="B4" s="9"/>
      <c r="C4" s="10" t="s">
        <v>43</v>
      </c>
      <c r="D4" s="10" t="s">
        <v>1</v>
      </c>
      <c r="E4" s="55" t="s">
        <v>42</v>
      </c>
      <c r="F4" s="55" t="s">
        <v>41</v>
      </c>
      <c r="G4" s="55"/>
      <c r="H4" s="10" t="s">
        <v>45</v>
      </c>
      <c r="I4" s="55" t="s">
        <v>42</v>
      </c>
      <c r="J4" s="55" t="s">
        <v>41</v>
      </c>
      <c r="K4" s="55"/>
      <c r="L4" s="55" t="s">
        <v>42</v>
      </c>
      <c r="M4" s="55" t="s">
        <v>41</v>
      </c>
      <c r="N4" s="55" t="s">
        <v>95</v>
      </c>
      <c r="AA4" s="107" t="s">
        <v>89</v>
      </c>
      <c r="AB4" s="107" t="s">
        <v>90</v>
      </c>
      <c r="AC4" s="110" t="s">
        <v>91</v>
      </c>
    </row>
    <row r="5" spans="1:29" ht="48.3" customHeight="1" thickTop="1" thickBot="1">
      <c r="A5" s="3"/>
      <c r="B5" s="138" t="s">
        <v>208</v>
      </c>
      <c r="C5" s="146" t="s">
        <v>179</v>
      </c>
      <c r="D5" s="146" t="s">
        <v>207</v>
      </c>
      <c r="E5" s="146" t="s">
        <v>25</v>
      </c>
      <c r="F5" s="146" t="s">
        <v>9</v>
      </c>
      <c r="G5" s="163"/>
      <c r="H5" s="145" t="s">
        <v>228</v>
      </c>
      <c r="I5" s="146" t="s">
        <v>66</v>
      </c>
      <c r="J5" s="146" t="s">
        <v>11</v>
      </c>
      <c r="K5" s="146"/>
      <c r="L5" s="146" t="str">
        <f>IF(ISBLANK(I5), E5, I5)</f>
        <v>Highly likely</v>
      </c>
      <c r="M5" s="146" t="str">
        <f>IF(ISBLANK(J5), F5, J5)</f>
        <v>Severe</v>
      </c>
      <c r="N5" s="91" t="str">
        <f>IF(ISNUMBER(AA5),VLOOKUP(AC5,VLookup!$A$23:$B$47,2,FALSE),"")</f>
        <v>High</v>
      </c>
      <c r="AA5" s="101">
        <f>IF(ISTEXT(L5),VLOOKUP(L5,VLookup!$A$2:$B$6,2,"FALSE"),"")</f>
        <v>4</v>
      </c>
      <c r="AB5" s="101">
        <f>IF(ISTEXT(J5),VLOOKUP(J5,VLookup!$A$13:$B$17,2,"False"),"")</f>
        <v>4</v>
      </c>
      <c r="AC5" s="101">
        <f>IF(AND(ISTEXT(L5),ISTEXT(M5)),(AA5*AB5),"")</f>
        <v>16</v>
      </c>
    </row>
    <row r="6" spans="1:29" ht="55.5" customHeight="1" thickTop="1" thickBot="1">
      <c r="A6" s="3"/>
      <c r="B6" s="139"/>
      <c r="C6" s="148" t="s">
        <v>182</v>
      </c>
      <c r="D6" s="146" t="s">
        <v>181</v>
      </c>
      <c r="E6" s="148"/>
      <c r="F6" s="146"/>
      <c r="G6" s="164"/>
      <c r="H6" s="145" t="s">
        <v>229</v>
      </c>
      <c r="I6" s="148"/>
      <c r="J6" s="146"/>
      <c r="K6" s="148"/>
      <c r="L6" s="146">
        <f t="shared" ref="L6:M14" si="0">IF(ISBLANK(I6), E6, I6)</f>
        <v>0</v>
      </c>
      <c r="M6" s="148">
        <f t="shared" si="0"/>
        <v>0</v>
      </c>
      <c r="N6" s="91" t="str">
        <f>IF(ISNUMBER(AA6),VLOOKUP(AC6,VLookup!$A$23:$B$47,2,FALSE),"")</f>
        <v/>
      </c>
      <c r="AA6" s="101" t="str">
        <f>IF(ISTEXT(L6),VLOOKUP(L6,VLookup!$A$2:$B$6,2,"FALSE"),"")</f>
        <v/>
      </c>
      <c r="AB6" s="101" t="str">
        <f>IF(ISTEXT(J6),VLOOKUP(J6,VLookup!$A$13:$B$17,2,"False"),"")</f>
        <v/>
      </c>
      <c r="AC6" s="101" t="str">
        <f t="shared" ref="AC6:AC49" si="1">IF(AND(ISTEXT(L6),ISTEXT(M6)),(AA6*AB6),"")</f>
        <v/>
      </c>
    </row>
    <row r="7" spans="1:29" ht="31.5" customHeight="1" thickTop="1" thickBot="1">
      <c r="A7" s="3"/>
      <c r="B7" s="139"/>
      <c r="C7" s="148" t="s">
        <v>182</v>
      </c>
      <c r="D7" s="148" t="s">
        <v>184</v>
      </c>
      <c r="E7" s="148"/>
      <c r="F7" s="148"/>
      <c r="G7" s="164"/>
      <c r="H7" s="147" t="s">
        <v>230</v>
      </c>
      <c r="I7" s="148"/>
      <c r="J7" s="148"/>
      <c r="K7" s="148"/>
      <c r="L7" s="148">
        <f t="shared" si="0"/>
        <v>0</v>
      </c>
      <c r="M7" s="148">
        <f t="shared" si="0"/>
        <v>0</v>
      </c>
      <c r="N7" s="91" t="str">
        <f>IF(ISNUMBER(AA7),VLOOKUP(AC7,VLookup!$A$23:$B$47,2,FALSE),"")</f>
        <v/>
      </c>
      <c r="AA7" s="101" t="str">
        <f>IF(ISTEXT(L7),VLOOKUP(L7,VLookup!$A$2:$B$6,2,"FALSE"),"")</f>
        <v/>
      </c>
      <c r="AB7" s="101" t="str">
        <f>IF(ISTEXT(J7),VLOOKUP(J7,VLookup!$A$13:$B$17,2,"False"),"")</f>
        <v/>
      </c>
      <c r="AC7" s="101" t="str">
        <f t="shared" si="1"/>
        <v/>
      </c>
    </row>
    <row r="8" spans="1:29" ht="31.5" customHeight="1" thickTop="1" thickBot="1">
      <c r="A8" s="3"/>
      <c r="B8" s="139"/>
      <c r="C8" s="146" t="s">
        <v>187</v>
      </c>
      <c r="D8" s="148" t="s">
        <v>186</v>
      </c>
      <c r="E8" s="146"/>
      <c r="F8" s="148"/>
      <c r="G8" s="164"/>
      <c r="H8" s="147" t="s">
        <v>231</v>
      </c>
      <c r="I8" s="146"/>
      <c r="J8" s="148"/>
      <c r="K8" s="146"/>
      <c r="L8" s="148">
        <f t="shared" si="0"/>
        <v>0</v>
      </c>
      <c r="M8" s="146">
        <f t="shared" si="0"/>
        <v>0</v>
      </c>
      <c r="N8" s="91" t="str">
        <f>IF(ISNUMBER(AA8),VLOOKUP(AC8,VLookup!$A$23:$B$47,2,FALSE),"")</f>
        <v/>
      </c>
      <c r="AA8" s="101" t="str">
        <f>IF(ISTEXT(L8),VLOOKUP(L8,VLookup!$A$2:$B$6,2,"FALSE"),"")</f>
        <v/>
      </c>
      <c r="AB8" s="101" t="str">
        <f>IF(ISTEXT(J8),VLOOKUP(J8,VLookup!$A$13:$B$17,2,"False"),"")</f>
        <v/>
      </c>
      <c r="AC8" s="101" t="str">
        <f t="shared" si="1"/>
        <v/>
      </c>
    </row>
    <row r="9" spans="1:29" ht="46.2" thickTop="1" thickBot="1">
      <c r="A9" s="3"/>
      <c r="B9" s="139"/>
      <c r="C9" s="146" t="s">
        <v>190</v>
      </c>
      <c r="D9" s="146" t="s">
        <v>189</v>
      </c>
      <c r="E9" s="146"/>
      <c r="F9" s="146"/>
      <c r="G9" s="164"/>
      <c r="H9" s="145" t="s">
        <v>232</v>
      </c>
      <c r="I9" s="146"/>
      <c r="J9" s="146"/>
      <c r="K9" s="146"/>
      <c r="L9" s="146">
        <f t="shared" si="0"/>
        <v>0</v>
      </c>
      <c r="M9" s="146">
        <f t="shared" si="0"/>
        <v>0</v>
      </c>
      <c r="N9" s="91" t="str">
        <f>IF(ISNUMBER(AA9),VLOOKUP(AC9,VLookup!$A$23:$B$47,2,FALSE),"")</f>
        <v/>
      </c>
      <c r="AA9" s="101" t="str">
        <f>IF(ISTEXT(L9),VLOOKUP(L9,VLookup!$A$2:$B$6,2,"FALSE"),"")</f>
        <v/>
      </c>
      <c r="AB9" s="101" t="str">
        <f>IF(ISTEXT(J9),VLOOKUP(J9,VLookup!$A$13:$B$17,2,"False"),"")</f>
        <v/>
      </c>
      <c r="AC9" s="101" t="str">
        <f t="shared" si="1"/>
        <v/>
      </c>
    </row>
    <row r="10" spans="1:29" ht="46.2" thickTop="1" thickBot="1">
      <c r="A10" s="3"/>
      <c r="B10" s="139"/>
      <c r="C10" s="148" t="s">
        <v>193</v>
      </c>
      <c r="D10" s="146" t="s">
        <v>192</v>
      </c>
      <c r="E10" s="148"/>
      <c r="F10" s="146"/>
      <c r="G10" s="164"/>
      <c r="H10" s="145" t="s">
        <v>233</v>
      </c>
      <c r="I10" s="148"/>
      <c r="J10" s="146"/>
      <c r="K10" s="148"/>
      <c r="L10" s="146">
        <f t="shared" si="0"/>
        <v>0</v>
      </c>
      <c r="M10" s="148">
        <f t="shared" si="0"/>
        <v>0</v>
      </c>
      <c r="N10" s="91" t="str">
        <f>IF(ISNUMBER(AA10),VLOOKUP(AC10,VLookup!$A$23:$B$47,2,FALSE),"")</f>
        <v/>
      </c>
      <c r="AA10" s="101" t="str">
        <f>IF(ISTEXT(L10),VLOOKUP(L10,VLookup!$A$2:$B$6,2,"FALSE"),"")</f>
        <v/>
      </c>
      <c r="AB10" s="101" t="str">
        <f>IF(ISTEXT(J10),VLOOKUP(J10,VLookup!$A$13:$B$17,2,"False"),"")</f>
        <v/>
      </c>
      <c r="AC10" s="101" t="str">
        <f t="shared" si="1"/>
        <v/>
      </c>
    </row>
    <row r="11" spans="1:29" ht="46.2" thickTop="1" thickBot="1">
      <c r="A11" s="3"/>
      <c r="B11" s="139"/>
      <c r="C11" s="146" t="s">
        <v>196</v>
      </c>
      <c r="D11" s="146" t="s">
        <v>195</v>
      </c>
      <c r="E11" s="146"/>
      <c r="F11" s="146"/>
      <c r="G11" s="164"/>
      <c r="H11" s="145" t="s">
        <v>234</v>
      </c>
      <c r="I11" s="146"/>
      <c r="J11" s="146"/>
      <c r="K11" s="146"/>
      <c r="L11" s="146">
        <f t="shared" si="0"/>
        <v>0</v>
      </c>
      <c r="M11" s="146">
        <f t="shared" si="0"/>
        <v>0</v>
      </c>
      <c r="N11" s="91" t="str">
        <f>IF(ISNUMBER(AA11),VLOOKUP(AC11,VLookup!$A$23:$B$47,2,FALSE),"")</f>
        <v/>
      </c>
      <c r="AA11" s="101" t="str">
        <f>IF(ISTEXT(L11),VLOOKUP(L11,VLookup!$A$2:$B$6,2,"FALSE"),"")</f>
        <v/>
      </c>
      <c r="AB11" s="101" t="str">
        <f>IF(ISTEXT(J11),VLOOKUP(J11,VLookup!$A$13:$B$17,2,"False"),"")</f>
        <v/>
      </c>
      <c r="AC11" s="101" t="str">
        <f t="shared" si="1"/>
        <v/>
      </c>
    </row>
    <row r="12" spans="1:29" ht="47.4" thickTop="1" thickBot="1">
      <c r="A12" s="3"/>
      <c r="B12" s="139"/>
      <c r="C12" s="148" t="s">
        <v>199</v>
      </c>
      <c r="D12" s="148" t="s">
        <v>198</v>
      </c>
      <c r="E12" s="148"/>
      <c r="F12" s="148"/>
      <c r="G12" s="164"/>
      <c r="H12" s="147" t="s">
        <v>235</v>
      </c>
      <c r="I12" s="148"/>
      <c r="J12" s="148"/>
      <c r="K12" s="148"/>
      <c r="L12" s="148">
        <f t="shared" si="0"/>
        <v>0</v>
      </c>
      <c r="M12" s="148">
        <f t="shared" si="0"/>
        <v>0</v>
      </c>
      <c r="N12" s="91" t="str">
        <f>IF(ISNUMBER(AA12),VLOOKUP(AC12,VLookup!$A$23:$B$47,2,FALSE),"")</f>
        <v/>
      </c>
      <c r="AA12" s="101" t="str">
        <f>IF(ISTEXT(L12),VLOOKUP(L12,VLookup!$A$2:$B$6,2,"FALSE"),"")</f>
        <v/>
      </c>
      <c r="AB12" s="101" t="str">
        <f>IF(ISTEXT(J12),VLOOKUP(J12,VLookup!$A$13:$B$17,2,"False"),"")</f>
        <v/>
      </c>
      <c r="AC12" s="101" t="str">
        <f t="shared" si="1"/>
        <v/>
      </c>
    </row>
    <row r="13" spans="1:29" ht="34.799999999999997" thickTop="1" thickBot="1">
      <c r="A13" s="3"/>
      <c r="B13" s="139"/>
      <c r="C13" s="146" t="s">
        <v>202</v>
      </c>
      <c r="D13" s="146" t="s">
        <v>201</v>
      </c>
      <c r="E13" s="146"/>
      <c r="F13" s="146"/>
      <c r="G13" s="164"/>
      <c r="H13" s="145" t="s">
        <v>236</v>
      </c>
      <c r="I13" s="146"/>
      <c r="J13" s="146"/>
      <c r="K13" s="146"/>
      <c r="L13" s="146">
        <f t="shared" si="0"/>
        <v>0</v>
      </c>
      <c r="M13" s="146">
        <f t="shared" si="0"/>
        <v>0</v>
      </c>
      <c r="N13" s="91" t="str">
        <f>IF(ISNUMBER(AA13),VLOOKUP(AC13,VLookup!$A$23:$B$47,2,FALSE),"")</f>
        <v/>
      </c>
      <c r="AA13" s="101" t="str">
        <f>IF(ISTEXT(L13),VLOOKUP(L13,VLookup!$A$2:$B$6,2,"FALSE"),"")</f>
        <v/>
      </c>
      <c r="AB13" s="101" t="str">
        <f>IF(ISTEXT(J13),VLOOKUP(J13,VLookup!$A$13:$B$17,2,"False"),"")</f>
        <v/>
      </c>
      <c r="AC13" s="101" t="str">
        <f t="shared" si="1"/>
        <v/>
      </c>
    </row>
    <row r="14" spans="1:29" ht="46.2" thickTop="1" thickBot="1">
      <c r="A14" s="3"/>
      <c r="B14" s="140"/>
      <c r="C14" s="148" t="s">
        <v>205</v>
      </c>
      <c r="D14" s="146" t="s">
        <v>204</v>
      </c>
      <c r="E14" s="148"/>
      <c r="F14" s="146"/>
      <c r="G14" s="165"/>
      <c r="H14" s="145" t="s">
        <v>237</v>
      </c>
      <c r="I14" s="148"/>
      <c r="J14" s="146"/>
      <c r="K14" s="148"/>
      <c r="L14" s="146">
        <f t="shared" si="0"/>
        <v>0</v>
      </c>
      <c r="M14" s="148">
        <f t="shared" si="0"/>
        <v>0</v>
      </c>
      <c r="N14" s="91" t="str">
        <f>IF(ISNUMBER(AA14),VLOOKUP(AC14,VLookup!$A$23:$B$47,2,FALSE),"")</f>
        <v/>
      </c>
      <c r="AA14" s="101" t="str">
        <f>IF(ISTEXT(L14),VLOOKUP(L14,VLookup!$A$2:$B$6,2,"FALSE"),"")</f>
        <v/>
      </c>
      <c r="AB14" s="101" t="str">
        <f>IF(ISTEXT(J14),VLOOKUP(J14,VLookup!$A$13:$B$17,2,"False"),"")</f>
        <v/>
      </c>
      <c r="AC14" s="101" t="str">
        <f t="shared" si="1"/>
        <v/>
      </c>
    </row>
    <row r="15" spans="1:29" ht="15.9" thickBot="1">
      <c r="A15" s="3"/>
      <c r="B15" s="56"/>
      <c r="C15" s="61"/>
      <c r="D15" s="57"/>
      <c r="E15" s="85"/>
      <c r="F15" s="85"/>
      <c r="G15" s="86"/>
      <c r="H15" s="106"/>
      <c r="I15" s="85"/>
      <c r="J15" s="85"/>
      <c r="K15" s="86"/>
      <c r="L15" s="85"/>
      <c r="M15" s="86"/>
      <c r="N15" s="76" t="str">
        <f>IF(ISNUMBER(AA15),VLOOKUP(AB15,VLookup!$A$23:$B$47,2,FALSE),"")</f>
        <v/>
      </c>
      <c r="AA15" s="101" t="str">
        <f>IF(ISTEXT(L15),VLOOKUP(L15,VLookup!$A$2:$B$6,2,"FALSE"),"")</f>
        <v/>
      </c>
      <c r="AB15" s="101" t="str">
        <f>IF(ISTEXT(J15),VLOOKUP(J15,VLookup!$A$13:$B$17,2,"False"),"")</f>
        <v/>
      </c>
      <c r="AC15" s="101" t="str">
        <f t="shared" si="1"/>
        <v/>
      </c>
    </row>
    <row r="16" spans="1:29" ht="46.2" thickTop="1" thickBot="1">
      <c r="A16" s="3"/>
      <c r="B16" s="151" t="s">
        <v>99</v>
      </c>
      <c r="C16" s="146" t="s">
        <v>101</v>
      </c>
      <c r="D16" s="146" t="s">
        <v>100</v>
      </c>
      <c r="E16" s="146"/>
      <c r="F16" s="146"/>
      <c r="G16" s="163"/>
      <c r="H16" s="145" t="s">
        <v>238</v>
      </c>
      <c r="I16" s="146"/>
      <c r="J16" s="146"/>
      <c r="K16" s="146"/>
      <c r="L16" s="146">
        <f t="shared" ref="L16:M23" si="2">IF(ISBLANK(I16), E16, I16)</f>
        <v>0</v>
      </c>
      <c r="M16" s="146">
        <f t="shared" si="2"/>
        <v>0</v>
      </c>
      <c r="N16" s="91" t="str">
        <f>IF(ISNUMBER(AA16),VLOOKUP(AC16,VLookup!$A$23:$B$47,2,FALSE),"")</f>
        <v/>
      </c>
      <c r="AA16" s="101" t="str">
        <f>IF(ISTEXT(L16),VLOOKUP(L16,VLookup!$A$2:$B$6,2,"FALSE"),"")</f>
        <v/>
      </c>
      <c r="AB16" s="101" t="str">
        <f>IF(ISTEXT(J16),VLOOKUP(J16,VLookup!$A$13:$B$17,2,"False"),"")</f>
        <v/>
      </c>
      <c r="AC16" s="101" t="str">
        <f t="shared" si="1"/>
        <v/>
      </c>
    </row>
    <row r="17" spans="1:29" ht="46.2" thickTop="1" thickBot="1">
      <c r="A17" s="3"/>
      <c r="B17" s="152"/>
      <c r="C17" s="148" t="s">
        <v>102</v>
      </c>
      <c r="D17" s="146" t="s">
        <v>103</v>
      </c>
      <c r="E17" s="148"/>
      <c r="F17" s="146"/>
      <c r="G17" s="164"/>
      <c r="H17" s="145" t="s">
        <v>239</v>
      </c>
      <c r="I17" s="148"/>
      <c r="J17" s="146"/>
      <c r="K17" s="148"/>
      <c r="L17" s="146">
        <f t="shared" si="2"/>
        <v>0</v>
      </c>
      <c r="M17" s="148">
        <f t="shared" si="2"/>
        <v>0</v>
      </c>
      <c r="N17" s="91" t="str">
        <f>IF(ISNUMBER(AA17),VLOOKUP(AC17,VLookup!$A$23:$B$47,2,FALSE),"")</f>
        <v/>
      </c>
      <c r="AA17" s="101" t="str">
        <f>IF(ISTEXT(L17),VLOOKUP(L17,VLookup!$A$2:$B$6,2,"FALSE"),"")</f>
        <v/>
      </c>
      <c r="AB17" s="101" t="str">
        <f>IF(ISTEXT(J17),VLOOKUP(J17,VLookup!$A$13:$B$17,2,"False"),"")</f>
        <v/>
      </c>
      <c r="AC17" s="101" t="str">
        <f t="shared" si="1"/>
        <v/>
      </c>
    </row>
    <row r="18" spans="1:29" ht="47.4" thickTop="1" thickBot="1">
      <c r="A18" s="3"/>
      <c r="B18" s="152"/>
      <c r="C18" s="148" t="s">
        <v>107</v>
      </c>
      <c r="D18" s="148" t="s">
        <v>104</v>
      </c>
      <c r="E18" s="148"/>
      <c r="F18" s="148"/>
      <c r="G18" s="164"/>
      <c r="H18" s="147" t="s">
        <v>240</v>
      </c>
      <c r="I18" s="148"/>
      <c r="J18" s="148"/>
      <c r="K18" s="148"/>
      <c r="L18" s="148">
        <f t="shared" si="2"/>
        <v>0</v>
      </c>
      <c r="M18" s="148">
        <f t="shared" si="2"/>
        <v>0</v>
      </c>
      <c r="N18" s="91" t="str">
        <f>IF(ISNUMBER(AA18),VLOOKUP(AC18,VLookup!$A$23:$B$47,2,FALSE),"")</f>
        <v/>
      </c>
      <c r="AA18" s="101" t="str">
        <f>IF(ISTEXT(L18),VLOOKUP(L18,VLookup!$A$2:$B$6,2,"FALSE"),"")</f>
        <v/>
      </c>
      <c r="AB18" s="101" t="str">
        <f>IF(ISTEXT(J18),VLOOKUP(J18,VLookup!$A$13:$B$17,2,"False"),"")</f>
        <v/>
      </c>
      <c r="AC18" s="101" t="str">
        <f t="shared" si="1"/>
        <v/>
      </c>
    </row>
    <row r="19" spans="1:29" ht="35.700000000000003" thickTop="1" thickBot="1">
      <c r="A19" s="3"/>
      <c r="B19" s="152"/>
      <c r="C19" s="146" t="s">
        <v>108</v>
      </c>
      <c r="D19" s="148" t="s">
        <v>105</v>
      </c>
      <c r="E19" s="146"/>
      <c r="F19" s="148"/>
      <c r="G19" s="164"/>
      <c r="H19" s="147" t="s">
        <v>241</v>
      </c>
      <c r="I19" s="146"/>
      <c r="J19" s="148"/>
      <c r="K19" s="146"/>
      <c r="L19" s="148">
        <f t="shared" si="2"/>
        <v>0</v>
      </c>
      <c r="M19" s="146">
        <f t="shared" si="2"/>
        <v>0</v>
      </c>
      <c r="N19" s="91" t="str">
        <f>IF(ISNUMBER(AA19),VLOOKUP(AC19,VLookup!$A$23:$B$47,2,FALSE),"")</f>
        <v/>
      </c>
      <c r="AA19" s="101" t="str">
        <f>IF(ISTEXT(L19),VLOOKUP(L19,VLookup!$A$2:$B$6,2,"FALSE"),"")</f>
        <v/>
      </c>
      <c r="AB19" s="101" t="str">
        <f>IF(ISTEXT(J19),VLOOKUP(J19,VLookup!$A$13:$B$17,2,"False"),"")</f>
        <v/>
      </c>
      <c r="AC19" s="101" t="str">
        <f t="shared" si="1"/>
        <v/>
      </c>
    </row>
    <row r="20" spans="1:29" ht="46.2" thickTop="1" thickBot="1">
      <c r="A20" s="3"/>
      <c r="B20" s="152"/>
      <c r="C20" s="146" t="s">
        <v>109</v>
      </c>
      <c r="D20" s="146" t="s">
        <v>106</v>
      </c>
      <c r="E20" s="146"/>
      <c r="F20" s="146"/>
      <c r="G20" s="164"/>
      <c r="H20" s="145" t="s">
        <v>242</v>
      </c>
      <c r="I20" s="146"/>
      <c r="J20" s="146"/>
      <c r="K20" s="146"/>
      <c r="L20" s="146">
        <f t="shared" si="2"/>
        <v>0</v>
      </c>
      <c r="M20" s="146">
        <f t="shared" si="2"/>
        <v>0</v>
      </c>
      <c r="N20" s="91" t="str">
        <f>IF(ISNUMBER(AA20),VLOOKUP(AC20,VLookup!$A$23:$B$47,2,FALSE),"")</f>
        <v/>
      </c>
      <c r="AA20" s="101" t="str">
        <f>IF(ISTEXT(L20),VLOOKUP(L20,VLookup!$A$2:$B$6,2,"FALSE"),"")</f>
        <v/>
      </c>
      <c r="AB20" s="101" t="str">
        <f>IF(ISTEXT(J20),VLOOKUP(J20,VLookup!$A$13:$B$17,2,"False"),"")</f>
        <v/>
      </c>
      <c r="AC20" s="101" t="str">
        <f t="shared" si="1"/>
        <v/>
      </c>
    </row>
    <row r="21" spans="1:29" ht="46.2" thickTop="1" thickBot="1">
      <c r="A21" s="3"/>
      <c r="B21" s="152"/>
      <c r="C21" s="148" t="s">
        <v>110</v>
      </c>
      <c r="D21" s="146" t="s">
        <v>111</v>
      </c>
      <c r="E21" s="148"/>
      <c r="F21" s="146"/>
      <c r="G21" s="164"/>
      <c r="H21" s="145" t="s">
        <v>243</v>
      </c>
      <c r="I21" s="148"/>
      <c r="J21" s="146"/>
      <c r="K21" s="148"/>
      <c r="L21" s="146">
        <f t="shared" si="2"/>
        <v>0</v>
      </c>
      <c r="M21" s="148">
        <f t="shared" si="2"/>
        <v>0</v>
      </c>
      <c r="N21" s="91" t="str">
        <f>IF(ISNUMBER(AA21),VLOOKUP(AC21,VLookup!$A$23:$B$47,2,FALSE),"")</f>
        <v/>
      </c>
      <c r="AA21" s="101" t="str">
        <f>IF(ISTEXT(L21),VLOOKUP(L21,VLookup!$A$2:$B$6,2,"FALSE"),"")</f>
        <v/>
      </c>
      <c r="AB21" s="101" t="str">
        <f>IF(ISTEXT(J21),VLOOKUP(J21,VLookup!$A$13:$B$17,2,"False"),"")</f>
        <v/>
      </c>
      <c r="AC21" s="101" t="str">
        <f t="shared" si="1"/>
        <v/>
      </c>
    </row>
    <row r="22" spans="1:29" ht="46.2" thickTop="1" thickBot="1">
      <c r="A22" s="3"/>
      <c r="B22" s="152"/>
      <c r="C22" s="146" t="s">
        <v>120</v>
      </c>
      <c r="D22" s="146" t="s">
        <v>118</v>
      </c>
      <c r="E22" s="146"/>
      <c r="F22" s="146"/>
      <c r="G22" s="164"/>
      <c r="H22" s="145" t="s">
        <v>244</v>
      </c>
      <c r="I22" s="146"/>
      <c r="J22" s="146"/>
      <c r="K22" s="146"/>
      <c r="L22" s="146">
        <f t="shared" si="2"/>
        <v>0</v>
      </c>
      <c r="M22" s="146">
        <f t="shared" si="2"/>
        <v>0</v>
      </c>
      <c r="N22" s="91" t="str">
        <f>IF(ISNUMBER(AA22),VLOOKUP(AC22,VLookup!$A$23:$B$47,2,FALSE),"")</f>
        <v/>
      </c>
      <c r="AA22" s="101" t="str">
        <f>IF(ISTEXT(L22),VLOOKUP(L22,VLookup!$A$2:$B$6,2,"FALSE"),"")</f>
        <v/>
      </c>
      <c r="AB22" s="101" t="str">
        <f>IF(ISTEXT(J22),VLOOKUP(J22,VLookup!$A$13:$B$17,2,"False"),"")</f>
        <v/>
      </c>
      <c r="AC22" s="101" t="str">
        <f t="shared" si="1"/>
        <v/>
      </c>
    </row>
    <row r="23" spans="1:29" ht="47.4" thickTop="1" thickBot="1">
      <c r="A23" s="3"/>
      <c r="B23" s="152"/>
      <c r="C23" s="148" t="s">
        <v>121</v>
      </c>
      <c r="D23" s="148" t="s">
        <v>119</v>
      </c>
      <c r="E23" s="148"/>
      <c r="F23" s="148"/>
      <c r="G23" s="164"/>
      <c r="H23" s="147" t="s">
        <v>245</v>
      </c>
      <c r="I23" s="148"/>
      <c r="J23" s="148"/>
      <c r="K23" s="148"/>
      <c r="L23" s="148">
        <f t="shared" si="2"/>
        <v>0</v>
      </c>
      <c r="M23" s="148">
        <f t="shared" si="2"/>
        <v>0</v>
      </c>
      <c r="N23" s="91" t="str">
        <f>IF(ISNUMBER(AA23),VLOOKUP(AC23,VLookup!$A$23:$B$47,2,FALSE),"")</f>
        <v/>
      </c>
      <c r="AA23" s="101" t="str">
        <f>IF(ISTEXT(L23),VLOOKUP(L23,VLookup!$A$2:$B$6,2,"FALSE"),"")</f>
        <v/>
      </c>
      <c r="AB23" s="101" t="str">
        <f>IF(ISTEXT(J23),VLOOKUP(J23,VLookup!$A$13:$B$17,2,"False"),"")</f>
        <v/>
      </c>
      <c r="AC23" s="101" t="str">
        <f t="shared" si="1"/>
        <v/>
      </c>
    </row>
    <row r="24" spans="1:29" ht="16.2" thickTop="1" thickBot="1">
      <c r="A24" s="3"/>
      <c r="B24" s="56"/>
      <c r="C24" s="61"/>
      <c r="D24" s="113"/>
      <c r="E24" s="85"/>
      <c r="F24" s="85"/>
      <c r="G24" s="86"/>
      <c r="H24" s="106"/>
      <c r="I24" s="85"/>
      <c r="J24" s="85"/>
      <c r="K24" s="86"/>
      <c r="L24" s="85"/>
      <c r="M24" s="86"/>
      <c r="N24" s="76" t="str">
        <f>IF(ISNUMBER(AA24),VLOOKUP(AB24,VLookup!$A$23:$B$47,2,FALSE),"")</f>
        <v/>
      </c>
      <c r="AA24" s="101" t="str">
        <f>IF(ISTEXT(L24),VLOOKUP(L24,VLookup!$A$2:$B$6,2,"FALSE"),"")</f>
        <v/>
      </c>
      <c r="AB24" s="101" t="str">
        <f>IF(ISTEXT(J24),VLOOKUP(J24,VLookup!$A$13:$B$17,2,"False"),"")</f>
        <v/>
      </c>
      <c r="AC24" s="101" t="str">
        <f t="shared" si="1"/>
        <v/>
      </c>
    </row>
    <row r="25" spans="1:29" ht="57.6" thickTop="1" thickBot="1">
      <c r="A25" s="3"/>
      <c r="B25" s="153" t="s">
        <v>124</v>
      </c>
      <c r="C25" s="146" t="s">
        <v>126</v>
      </c>
      <c r="D25" s="146" t="s">
        <v>125</v>
      </c>
      <c r="E25" s="146"/>
      <c r="F25" s="146"/>
      <c r="G25" s="163"/>
      <c r="H25" s="145" t="s">
        <v>246</v>
      </c>
      <c r="I25" s="146"/>
      <c r="J25" s="146"/>
      <c r="K25" s="146"/>
      <c r="L25" s="146">
        <f t="shared" ref="L25:M42" si="3">IF(ISBLANK(I25), E25, I25)</f>
        <v>0</v>
      </c>
      <c r="M25" s="82">
        <f t="shared" si="3"/>
        <v>0</v>
      </c>
      <c r="N25" s="91" t="str">
        <f>IF(ISNUMBER(AA25),VLOOKUP(AC25,VLookup!$A$23:$B$47,2,FALSE),"")</f>
        <v/>
      </c>
      <c r="AA25" s="101" t="str">
        <f>IF(ISTEXT(L25),VLOOKUP(L25,VLookup!$A$2:$B$6,2,"FALSE"),"")</f>
        <v/>
      </c>
      <c r="AB25" s="101" t="str">
        <f>IF(ISTEXT(J25),VLOOKUP(J25,VLookup!$A$13:$B$17,2,"False"),"")</f>
        <v/>
      </c>
      <c r="AC25" s="101" t="str">
        <f t="shared" si="1"/>
        <v/>
      </c>
    </row>
    <row r="26" spans="1:29" ht="46.2" thickTop="1" thickBot="1">
      <c r="A26" s="3"/>
      <c r="B26" s="154"/>
      <c r="C26" s="148" t="s">
        <v>129</v>
      </c>
      <c r="D26" s="146" t="s">
        <v>128</v>
      </c>
      <c r="E26" s="148"/>
      <c r="F26" s="146"/>
      <c r="G26" s="164"/>
      <c r="H26" s="145" t="s">
        <v>247</v>
      </c>
      <c r="I26" s="148"/>
      <c r="J26" s="146"/>
      <c r="K26" s="148"/>
      <c r="L26" s="146">
        <f t="shared" si="3"/>
        <v>0</v>
      </c>
      <c r="M26" s="83">
        <f t="shared" si="3"/>
        <v>0</v>
      </c>
      <c r="N26" s="91" t="str">
        <f>IF(ISNUMBER(AA26),VLOOKUP(AC26,VLookup!$A$23:$B$47,2,FALSE),"")</f>
        <v/>
      </c>
      <c r="AA26" s="101" t="str">
        <f>IF(ISTEXT(L26),VLOOKUP(L26,VLookup!$A$2:$B$6,2,"FALSE"),"")</f>
        <v/>
      </c>
      <c r="AB26" s="101" t="str">
        <f>IF(ISTEXT(J26),VLOOKUP(J26,VLookup!$A$13:$B$17,2,"False"),"")</f>
        <v/>
      </c>
      <c r="AC26" s="101" t="str">
        <f t="shared" si="1"/>
        <v/>
      </c>
    </row>
    <row r="27" spans="1:29" ht="47.4" thickTop="1" thickBot="1">
      <c r="A27" s="3"/>
      <c r="B27" s="154"/>
      <c r="C27" s="148" t="s">
        <v>132</v>
      </c>
      <c r="D27" s="148" t="s">
        <v>131</v>
      </c>
      <c r="E27" s="148"/>
      <c r="F27" s="148"/>
      <c r="G27" s="164"/>
      <c r="H27" s="147" t="s">
        <v>248</v>
      </c>
      <c r="I27" s="148"/>
      <c r="J27" s="148"/>
      <c r="K27" s="148"/>
      <c r="L27" s="148">
        <f t="shared" si="3"/>
        <v>0</v>
      </c>
      <c r="M27" s="83">
        <f t="shared" si="3"/>
        <v>0</v>
      </c>
      <c r="N27" s="91" t="str">
        <f>IF(ISNUMBER(AA27),VLOOKUP(AC27,VLookup!$A$23:$B$47,2,FALSE),"")</f>
        <v/>
      </c>
      <c r="AA27" s="101" t="str">
        <f>IF(ISTEXT(L27),VLOOKUP(L27,VLookup!$A$2:$B$6,2,"FALSE"),"")</f>
        <v/>
      </c>
      <c r="AB27" s="101" t="str">
        <f>IF(ISTEXT(J27),VLOOKUP(J27,VLookup!$A$13:$B$17,2,"False"),"")</f>
        <v/>
      </c>
      <c r="AC27" s="101" t="str">
        <f t="shared" si="1"/>
        <v/>
      </c>
    </row>
    <row r="28" spans="1:29" ht="35.700000000000003" thickTop="1" thickBot="1">
      <c r="A28" s="3"/>
      <c r="B28" s="154"/>
      <c r="C28" s="146" t="s">
        <v>135</v>
      </c>
      <c r="D28" s="148" t="s">
        <v>134</v>
      </c>
      <c r="E28" s="146"/>
      <c r="F28" s="148"/>
      <c r="G28" s="164"/>
      <c r="H28" s="147" t="s">
        <v>249</v>
      </c>
      <c r="I28" s="146"/>
      <c r="J28" s="148"/>
      <c r="K28" s="146"/>
      <c r="L28" s="148">
        <f t="shared" si="3"/>
        <v>0</v>
      </c>
      <c r="M28" s="83">
        <f t="shared" si="3"/>
        <v>0</v>
      </c>
      <c r="N28" s="91" t="str">
        <f>IF(ISNUMBER(AA28),VLOOKUP(AC28,VLookup!$A$23:$B$47,2,FALSE),"")</f>
        <v/>
      </c>
      <c r="AA28" s="101" t="str">
        <f>IF(ISTEXT(L28),VLOOKUP(L28,VLookup!$A$2:$B$6,2,"FALSE"),"")</f>
        <v/>
      </c>
      <c r="AB28" s="101" t="str">
        <f>IF(ISTEXT(J28),VLOOKUP(J28,VLookup!$A$13:$B$17,2,"False"),"")</f>
        <v/>
      </c>
      <c r="AC28" s="101" t="str">
        <f t="shared" si="1"/>
        <v/>
      </c>
    </row>
    <row r="29" spans="1:29" ht="46.2" thickTop="1" thickBot="1">
      <c r="A29" s="3"/>
      <c r="B29" s="154"/>
      <c r="C29" s="146" t="s">
        <v>138</v>
      </c>
      <c r="D29" s="146" t="s">
        <v>137</v>
      </c>
      <c r="E29" s="146"/>
      <c r="F29" s="146"/>
      <c r="G29" s="164"/>
      <c r="H29" s="145" t="s">
        <v>250</v>
      </c>
      <c r="I29" s="146"/>
      <c r="J29" s="146"/>
      <c r="K29" s="146"/>
      <c r="L29" s="146">
        <f t="shared" si="3"/>
        <v>0</v>
      </c>
      <c r="M29" s="83">
        <f t="shared" si="3"/>
        <v>0</v>
      </c>
      <c r="N29" s="91" t="str">
        <f>IF(ISNUMBER(AA29),VLOOKUP(AC29,VLookup!$A$23:$B$47,2,FALSE),"")</f>
        <v/>
      </c>
      <c r="AA29" s="101" t="str">
        <f>IF(ISTEXT(L29),VLOOKUP(L29,VLookup!$A$2:$B$6,2,"FALSE"),"")</f>
        <v/>
      </c>
      <c r="AB29" s="101" t="str">
        <f>IF(ISTEXT(J29),VLOOKUP(J29,VLookup!$A$13:$B$17,2,"False"),"")</f>
        <v/>
      </c>
      <c r="AC29" s="101" t="str">
        <f t="shared" si="1"/>
        <v/>
      </c>
    </row>
    <row r="30" spans="1:29" ht="46.2" thickTop="1" thickBot="1">
      <c r="A30" s="3"/>
      <c r="B30" s="154"/>
      <c r="C30" s="148" t="s">
        <v>141</v>
      </c>
      <c r="D30" s="146" t="s">
        <v>140</v>
      </c>
      <c r="E30" s="148"/>
      <c r="F30" s="146"/>
      <c r="G30" s="164"/>
      <c r="H30" s="145" t="s">
        <v>251</v>
      </c>
      <c r="I30" s="148"/>
      <c r="J30" s="146"/>
      <c r="K30" s="148"/>
      <c r="L30" s="146">
        <f t="shared" si="3"/>
        <v>0</v>
      </c>
      <c r="M30" s="83">
        <f t="shared" si="3"/>
        <v>0</v>
      </c>
      <c r="N30" s="91" t="str">
        <f>IF(ISNUMBER(AA30),VLOOKUP(AC30,VLookup!$A$23:$B$47,2,FALSE),"")</f>
        <v/>
      </c>
      <c r="AA30" s="101" t="str">
        <f>IF(ISTEXT(L30),VLOOKUP(L30,VLookup!$A$2:$B$6,2,"FALSE"),"")</f>
        <v/>
      </c>
      <c r="AB30" s="101" t="str">
        <f>IF(ISTEXT(J30),VLOOKUP(J30,VLookup!$A$13:$B$17,2,"False"),"")</f>
        <v/>
      </c>
      <c r="AC30" s="101" t="str">
        <f t="shared" si="1"/>
        <v/>
      </c>
    </row>
    <row r="31" spans="1:29" ht="46.2" thickTop="1" thickBot="1">
      <c r="A31" s="3"/>
      <c r="B31" s="154"/>
      <c r="C31" s="146" t="s">
        <v>144</v>
      </c>
      <c r="D31" s="146" t="s">
        <v>143</v>
      </c>
      <c r="E31" s="146"/>
      <c r="F31" s="146"/>
      <c r="G31" s="164"/>
      <c r="H31" s="145" t="s">
        <v>252</v>
      </c>
      <c r="I31" s="146"/>
      <c r="J31" s="146"/>
      <c r="K31" s="146"/>
      <c r="L31" s="146">
        <f t="shared" si="3"/>
        <v>0</v>
      </c>
      <c r="M31" s="83">
        <f t="shared" si="3"/>
        <v>0</v>
      </c>
      <c r="N31" s="91" t="str">
        <f>IF(ISNUMBER(AA31),VLOOKUP(AC31,VLookup!$A$23:$B$47,2,FALSE),"")</f>
        <v/>
      </c>
      <c r="AA31" s="101" t="str">
        <f>IF(ISTEXT(L31),VLOOKUP(L31,VLookup!$A$2:$B$6,2,"FALSE"),"")</f>
        <v/>
      </c>
      <c r="AB31" s="101" t="str">
        <f>IF(ISTEXT(J31),VLOOKUP(J31,VLookup!$A$13:$B$17,2,"False"),"")</f>
        <v/>
      </c>
      <c r="AC31" s="101" t="str">
        <f t="shared" si="1"/>
        <v/>
      </c>
    </row>
    <row r="32" spans="1:29" ht="35.700000000000003" thickTop="1" thickBot="1">
      <c r="A32" s="3"/>
      <c r="B32" s="154"/>
      <c r="C32" s="148" t="s">
        <v>147</v>
      </c>
      <c r="D32" s="148" t="s">
        <v>146</v>
      </c>
      <c r="E32" s="148"/>
      <c r="F32" s="148"/>
      <c r="G32" s="164"/>
      <c r="H32" s="147" t="s">
        <v>253</v>
      </c>
      <c r="I32" s="148"/>
      <c r="J32" s="148"/>
      <c r="K32" s="148"/>
      <c r="L32" s="148">
        <f t="shared" si="3"/>
        <v>0</v>
      </c>
      <c r="M32" s="83">
        <f t="shared" si="3"/>
        <v>0</v>
      </c>
      <c r="N32" s="91" t="str">
        <f>IF(ISNUMBER(AA32),VLOOKUP(AC32,VLookup!$A$23:$B$47,2,FALSE),"")</f>
        <v/>
      </c>
      <c r="AA32" s="101" t="str">
        <f>IF(ISTEXT(L32),VLOOKUP(L32,VLookup!$A$2:$B$6,2,"FALSE"),"")</f>
        <v/>
      </c>
      <c r="AB32" s="101" t="str">
        <f>IF(ISTEXT(J32),VLOOKUP(J32,VLookup!$A$13:$B$17,2,"False"),"")</f>
        <v/>
      </c>
      <c r="AC32" s="101" t="str">
        <f t="shared" si="1"/>
        <v/>
      </c>
    </row>
    <row r="33" spans="1:29" ht="46.2" thickTop="1" thickBot="1">
      <c r="A33" s="3"/>
      <c r="B33" s="154"/>
      <c r="C33" s="146" t="s">
        <v>150</v>
      </c>
      <c r="D33" s="146" t="s">
        <v>149</v>
      </c>
      <c r="E33" s="146"/>
      <c r="F33" s="146"/>
      <c r="G33" s="163"/>
      <c r="H33" s="145" t="s">
        <v>254</v>
      </c>
      <c r="I33" s="146"/>
      <c r="J33" s="146"/>
      <c r="K33" s="146"/>
      <c r="L33" s="146">
        <f t="shared" si="3"/>
        <v>0</v>
      </c>
      <c r="M33" s="83">
        <f t="shared" si="3"/>
        <v>0</v>
      </c>
      <c r="N33" s="91" t="str">
        <f>IF(ISNUMBER(AA33),VLOOKUP(AC33,VLookup!$A$23:$B$47,2,FALSE),"")</f>
        <v/>
      </c>
      <c r="AA33" s="101" t="str">
        <f>IF(ISTEXT(L33),VLOOKUP(L33,VLookup!$A$2:$B$6,2,"FALSE"),"")</f>
        <v/>
      </c>
      <c r="AB33" s="101" t="str">
        <f>IF(ISTEXT(J33),VLOOKUP(J33,VLookup!$A$13:$B$17,2,"False"),"")</f>
        <v/>
      </c>
      <c r="AC33" s="101" t="str">
        <f t="shared" si="1"/>
        <v/>
      </c>
    </row>
    <row r="34" spans="1:29" ht="34.799999999999997" thickTop="1" thickBot="1">
      <c r="A34" s="3"/>
      <c r="B34" s="154"/>
      <c r="C34" s="148" t="s">
        <v>153</v>
      </c>
      <c r="D34" s="146" t="s">
        <v>152</v>
      </c>
      <c r="E34" s="148"/>
      <c r="F34" s="146"/>
      <c r="G34" s="164"/>
      <c r="H34" s="145" t="s">
        <v>255</v>
      </c>
      <c r="I34" s="148"/>
      <c r="J34" s="146"/>
      <c r="K34" s="148"/>
      <c r="L34" s="146">
        <f t="shared" si="3"/>
        <v>0</v>
      </c>
      <c r="M34" s="83">
        <f t="shared" si="3"/>
        <v>0</v>
      </c>
      <c r="N34" s="91" t="str">
        <f>IF(ISNUMBER(AA34),VLOOKUP(AC34,VLookup!$A$23:$B$47,2,FALSE),"")</f>
        <v/>
      </c>
      <c r="AA34" s="101" t="str">
        <f>IF(ISTEXT(L34),VLOOKUP(L34,VLookup!$A$2:$B$6,2,"FALSE"),"")</f>
        <v/>
      </c>
      <c r="AB34" s="101" t="str">
        <f>IF(ISTEXT(J34),VLOOKUP(J34,VLookup!$A$13:$B$17,2,"False"),"")</f>
        <v/>
      </c>
      <c r="AC34" s="101" t="str">
        <f t="shared" si="1"/>
        <v/>
      </c>
    </row>
    <row r="35" spans="1:29" ht="35.700000000000003" thickTop="1" thickBot="1">
      <c r="A35" s="3"/>
      <c r="B35" s="154"/>
      <c r="C35" s="148" t="s">
        <v>156</v>
      </c>
      <c r="D35" s="148" t="s">
        <v>155</v>
      </c>
      <c r="E35" s="148"/>
      <c r="F35" s="148"/>
      <c r="G35" s="164"/>
      <c r="H35" s="147" t="s">
        <v>256</v>
      </c>
      <c r="I35" s="148"/>
      <c r="J35" s="148"/>
      <c r="K35" s="148"/>
      <c r="L35" s="148">
        <f t="shared" si="3"/>
        <v>0</v>
      </c>
      <c r="M35" s="83">
        <f t="shared" si="3"/>
        <v>0</v>
      </c>
      <c r="N35" s="91" t="str">
        <f>IF(ISNUMBER(AA35),VLOOKUP(AC35,VLookup!$A$23:$B$47,2,FALSE),"")</f>
        <v/>
      </c>
      <c r="AA35" s="101" t="str">
        <f>IF(ISTEXT(L35),VLOOKUP(L35,VLookup!$A$2:$B$6,2,"FALSE"),"")</f>
        <v/>
      </c>
      <c r="AB35" s="101" t="str">
        <f>IF(ISTEXT(J35),VLOOKUP(J35,VLookup!$A$13:$B$17,2,"False"),"")</f>
        <v/>
      </c>
      <c r="AC35" s="101" t="str">
        <f t="shared" si="1"/>
        <v/>
      </c>
    </row>
    <row r="36" spans="1:29" ht="47.4" thickTop="1" thickBot="1">
      <c r="A36" s="3"/>
      <c r="B36" s="154"/>
      <c r="C36" s="146" t="s">
        <v>159</v>
      </c>
      <c r="D36" s="148" t="s">
        <v>158</v>
      </c>
      <c r="E36" s="146"/>
      <c r="F36" s="148"/>
      <c r="G36" s="164"/>
      <c r="H36" s="147" t="s">
        <v>257</v>
      </c>
      <c r="I36" s="146"/>
      <c r="J36" s="148"/>
      <c r="K36" s="146"/>
      <c r="L36" s="148">
        <f t="shared" si="3"/>
        <v>0</v>
      </c>
      <c r="M36" s="83">
        <f t="shared" si="3"/>
        <v>0</v>
      </c>
      <c r="N36" s="91" t="str">
        <f>IF(ISNUMBER(AA36),VLOOKUP(AC36,VLookup!$A$23:$B$47,2,FALSE),"")</f>
        <v/>
      </c>
      <c r="AA36" s="101" t="str">
        <f>IF(ISTEXT(L36),VLOOKUP(L36,VLookup!$A$2:$B$6,2,"FALSE"),"")</f>
        <v/>
      </c>
      <c r="AB36" s="101" t="str">
        <f>IF(ISTEXT(J36),VLOOKUP(J36,VLookup!$A$13:$B$17,2,"False"),"")</f>
        <v/>
      </c>
      <c r="AC36" s="101" t="str">
        <f t="shared" si="1"/>
        <v/>
      </c>
    </row>
    <row r="37" spans="1:29" ht="34.799999999999997" thickTop="1" thickBot="1">
      <c r="A37" s="3"/>
      <c r="B37" s="154"/>
      <c r="C37" s="146" t="s">
        <v>162</v>
      </c>
      <c r="D37" s="146" t="s">
        <v>161</v>
      </c>
      <c r="E37" s="146"/>
      <c r="F37" s="146"/>
      <c r="G37" s="164"/>
      <c r="H37" s="145" t="s">
        <v>258</v>
      </c>
      <c r="I37" s="146"/>
      <c r="J37" s="146"/>
      <c r="K37" s="146"/>
      <c r="L37" s="146">
        <f t="shared" si="3"/>
        <v>0</v>
      </c>
      <c r="M37" s="83">
        <f t="shared" si="3"/>
        <v>0</v>
      </c>
      <c r="N37" s="91" t="str">
        <f>IF(ISNUMBER(AA37),VLOOKUP(AC37,VLookup!$A$23:$B$47,2,FALSE),"")</f>
        <v/>
      </c>
      <c r="AA37" s="101" t="str">
        <f>IF(ISTEXT(L37),VLOOKUP(L37,VLookup!$A$2:$B$6,2,"FALSE"),"")</f>
        <v/>
      </c>
      <c r="AB37" s="101" t="str">
        <f>IF(ISTEXT(J37),VLOOKUP(J37,VLookup!$A$13:$B$17,2,"False"),"")</f>
        <v/>
      </c>
      <c r="AC37" s="101" t="str">
        <f t="shared" si="1"/>
        <v/>
      </c>
    </row>
    <row r="38" spans="1:29" ht="34.799999999999997" thickTop="1" thickBot="1">
      <c r="A38" s="3"/>
      <c r="B38" s="154"/>
      <c r="C38" s="148" t="s">
        <v>165</v>
      </c>
      <c r="D38" s="146" t="s">
        <v>164</v>
      </c>
      <c r="E38" s="148"/>
      <c r="F38" s="146"/>
      <c r="G38" s="164"/>
      <c r="H38" s="145" t="s">
        <v>259</v>
      </c>
      <c r="I38" s="148"/>
      <c r="J38" s="146"/>
      <c r="K38" s="148"/>
      <c r="L38" s="146">
        <f t="shared" si="3"/>
        <v>0</v>
      </c>
      <c r="M38" s="83">
        <f t="shared" si="3"/>
        <v>0</v>
      </c>
      <c r="N38" s="91" t="str">
        <f>IF(ISNUMBER(AA38),VLOOKUP(AC38,VLookup!$A$23:$B$47,2,FALSE),"")</f>
        <v/>
      </c>
      <c r="AA38" s="101" t="str">
        <f>IF(ISTEXT(L38),VLOOKUP(L38,VLookup!$A$2:$B$6,2,"FALSE"),"")</f>
        <v/>
      </c>
      <c r="AB38" s="101" t="str">
        <f>IF(ISTEXT(J38),VLOOKUP(J38,VLookup!$A$13:$B$17,2,"False"),"")</f>
        <v/>
      </c>
      <c r="AC38" s="101" t="str">
        <f t="shared" si="1"/>
        <v/>
      </c>
    </row>
    <row r="39" spans="1:29" ht="34.799999999999997" thickTop="1" thickBot="1">
      <c r="A39" s="3"/>
      <c r="B39" s="154"/>
      <c r="C39" s="146" t="s">
        <v>168</v>
      </c>
      <c r="D39" s="146" t="s">
        <v>167</v>
      </c>
      <c r="E39" s="146"/>
      <c r="F39" s="146"/>
      <c r="G39" s="164"/>
      <c r="H39" s="145" t="s">
        <v>260</v>
      </c>
      <c r="I39" s="146"/>
      <c r="J39" s="146"/>
      <c r="K39" s="146"/>
      <c r="L39" s="146">
        <f t="shared" si="3"/>
        <v>0</v>
      </c>
      <c r="M39" s="83">
        <f t="shared" si="3"/>
        <v>0</v>
      </c>
      <c r="N39" s="91" t="str">
        <f>IF(ISNUMBER(AA39),VLOOKUP(AC39,VLookup!$A$23:$B$47,2,FALSE),"")</f>
        <v/>
      </c>
      <c r="AA39" s="101" t="str">
        <f>IF(ISTEXT(L39),VLOOKUP(L39,VLookup!$A$2:$B$6,2,"FALSE"),"")</f>
        <v/>
      </c>
      <c r="AB39" s="101" t="str">
        <f>IF(ISTEXT(J39),VLOOKUP(J39,VLookup!$A$13:$B$17,2,"False"),"")</f>
        <v/>
      </c>
      <c r="AC39" s="101" t="str">
        <f t="shared" si="1"/>
        <v/>
      </c>
    </row>
    <row r="40" spans="1:29" ht="47.4" thickTop="1" thickBot="1">
      <c r="A40" s="3"/>
      <c r="B40" s="154"/>
      <c r="C40" s="148" t="s">
        <v>171</v>
      </c>
      <c r="D40" s="148" t="s">
        <v>170</v>
      </c>
      <c r="E40" s="148"/>
      <c r="F40" s="148"/>
      <c r="G40" s="164"/>
      <c r="H40" s="147" t="s">
        <v>261</v>
      </c>
      <c r="I40" s="148"/>
      <c r="J40" s="148"/>
      <c r="K40" s="148"/>
      <c r="L40" s="148">
        <f t="shared" si="3"/>
        <v>0</v>
      </c>
      <c r="M40" s="83">
        <f t="shared" si="3"/>
        <v>0</v>
      </c>
      <c r="N40" s="91" t="str">
        <f>IF(ISNUMBER(AA40),VLOOKUP(AC40,VLookup!$A$23:$B$47,2,FALSE),"")</f>
        <v/>
      </c>
      <c r="AA40" s="101" t="str">
        <f>IF(ISTEXT(L40),VLOOKUP(L40,VLookup!$A$2:$B$6,2,"FALSE"),"")</f>
        <v/>
      </c>
      <c r="AB40" s="101" t="str">
        <f>IF(ISTEXT(J40),VLOOKUP(J40,VLookup!$A$13:$B$17,2,"False"),"")</f>
        <v/>
      </c>
      <c r="AC40" s="101" t="str">
        <f t="shared" si="1"/>
        <v/>
      </c>
    </row>
    <row r="41" spans="1:29" ht="34.799999999999997" thickTop="1" thickBot="1">
      <c r="A41" s="3"/>
      <c r="B41" s="154"/>
      <c r="C41" s="146" t="s">
        <v>174</v>
      </c>
      <c r="D41" s="146" t="s">
        <v>173</v>
      </c>
      <c r="E41" s="146"/>
      <c r="F41" s="146"/>
      <c r="G41" s="163"/>
      <c r="H41" s="145" t="s">
        <v>262</v>
      </c>
      <c r="I41" s="146"/>
      <c r="J41" s="146"/>
      <c r="K41" s="146"/>
      <c r="L41" s="146">
        <f t="shared" si="3"/>
        <v>0</v>
      </c>
      <c r="M41" s="83">
        <f t="shared" si="3"/>
        <v>0</v>
      </c>
      <c r="N41" s="91" t="str">
        <f>IF(ISNUMBER(AA41),VLOOKUP(AC41,VLookup!$A$23:$B$47,2,FALSE),"")</f>
        <v/>
      </c>
      <c r="AA41" s="101" t="str">
        <f>IF(ISTEXT(L41),VLOOKUP(L41,VLookup!$A$2:$B$6,2,"FALSE"),"")</f>
        <v/>
      </c>
      <c r="AB41" s="101" t="str">
        <f>IF(ISTEXT(J41),VLOOKUP(J41,VLookup!$A$13:$B$17,2,"False"),"")</f>
        <v/>
      </c>
      <c r="AC41" s="101" t="str">
        <f t="shared" si="1"/>
        <v/>
      </c>
    </row>
    <row r="42" spans="1:29" ht="46.2" thickTop="1" thickBot="1">
      <c r="A42" s="3"/>
      <c r="B42" s="155"/>
      <c r="C42" s="148" t="s">
        <v>177</v>
      </c>
      <c r="D42" s="146" t="s">
        <v>178</v>
      </c>
      <c r="E42" s="148"/>
      <c r="F42" s="146"/>
      <c r="G42" s="164"/>
      <c r="H42" s="145" t="s">
        <v>263</v>
      </c>
      <c r="I42" s="148"/>
      <c r="J42" s="146"/>
      <c r="K42" s="148"/>
      <c r="L42" s="146">
        <f t="shared" si="3"/>
        <v>0</v>
      </c>
      <c r="M42" s="84">
        <f t="shared" si="3"/>
        <v>0</v>
      </c>
      <c r="N42" s="91" t="str">
        <f>IF(ISNUMBER(AA42),VLOOKUP(AC42,VLookup!$A$23:$B$47,2,FALSE),"")</f>
        <v/>
      </c>
      <c r="AA42" s="101" t="str">
        <f>IF(ISTEXT(L42),VLOOKUP(L42,VLookup!$A$2:$B$6,2,"FALSE"),"")</f>
        <v/>
      </c>
      <c r="AB42" s="101" t="str">
        <f>IF(ISTEXT(J42),VLOOKUP(J42,VLookup!$A$13:$B$17,2,"False"),"")</f>
        <v/>
      </c>
      <c r="AC42" s="101" t="str">
        <f t="shared" si="1"/>
        <v/>
      </c>
    </row>
    <row r="43" spans="1:29" ht="31.5" customHeight="1" thickBot="1">
      <c r="A43" s="3"/>
      <c r="B43" s="56"/>
      <c r="C43" s="61"/>
      <c r="D43" s="113"/>
      <c r="E43" s="85"/>
      <c r="F43" s="85"/>
      <c r="G43" s="86"/>
      <c r="H43" s="106"/>
      <c r="I43" s="85"/>
      <c r="J43" s="85"/>
      <c r="K43" s="86"/>
      <c r="L43" s="85"/>
      <c r="M43" s="86"/>
      <c r="N43" s="76" t="str">
        <f>IF(ISNUMBER(AA43),VLOOKUP(AB43,VLookup!$A$23:$B$47,2,FALSE),"")</f>
        <v/>
      </c>
      <c r="AA43" s="101" t="str">
        <f>IF(ISTEXT(L43),VLOOKUP(L43,VLookup!$A$2:$B$6,2,"FALSE"),"")</f>
        <v/>
      </c>
      <c r="AB43" s="101" t="str">
        <f>IF(ISTEXT(J43),VLOOKUP(J43,VLookup!$A$13:$B$17,2,"False"),"")</f>
        <v/>
      </c>
      <c r="AC43" s="101" t="str">
        <f t="shared" si="1"/>
        <v/>
      </c>
    </row>
    <row r="44" spans="1:29" ht="31.5" customHeight="1" thickTop="1" thickBot="1">
      <c r="A44" s="3"/>
      <c r="B44" s="160" t="s">
        <v>209</v>
      </c>
      <c r="C44" s="146" t="s">
        <v>211</v>
      </c>
      <c r="D44" s="146" t="s">
        <v>210</v>
      </c>
      <c r="E44" s="146"/>
      <c r="F44" s="146"/>
      <c r="G44" s="163"/>
      <c r="H44" s="145" t="s">
        <v>264</v>
      </c>
      <c r="I44" s="146"/>
      <c r="J44" s="146"/>
      <c r="K44" s="146"/>
      <c r="L44" s="146">
        <f t="shared" ref="L44:M49" si="4">IF(ISBLANK(I44), E44, I44)</f>
        <v>0</v>
      </c>
      <c r="M44" s="146">
        <f t="shared" si="4"/>
        <v>0</v>
      </c>
      <c r="N44" s="91" t="str">
        <f>IF(ISNUMBER(AA44),VLOOKUP(AC44,VLookup!$A$23:$B$47,2,FALSE),"")</f>
        <v/>
      </c>
      <c r="AA44" s="101" t="str">
        <f>IF(ISTEXT(L44),VLOOKUP(L44,VLookup!$A$2:$B$6,2,"FALSE"),"")</f>
        <v/>
      </c>
      <c r="AB44" s="101" t="str">
        <f>IF(ISTEXT(J44),VLOOKUP(J44,VLookup!$A$13:$B$17,2,"False"),"")</f>
        <v/>
      </c>
      <c r="AC44" s="101" t="str">
        <f t="shared" si="1"/>
        <v/>
      </c>
    </row>
    <row r="45" spans="1:29" ht="31.5" customHeight="1" thickTop="1" thickBot="1">
      <c r="A45" s="3"/>
      <c r="B45" s="161"/>
      <c r="C45" s="148" t="s">
        <v>214</v>
      </c>
      <c r="D45" s="146" t="s">
        <v>213</v>
      </c>
      <c r="E45" s="148"/>
      <c r="F45" s="146"/>
      <c r="G45" s="164"/>
      <c r="H45" s="145" t="s">
        <v>265</v>
      </c>
      <c r="I45" s="148"/>
      <c r="J45" s="146"/>
      <c r="K45" s="148"/>
      <c r="L45" s="146">
        <f t="shared" si="4"/>
        <v>0</v>
      </c>
      <c r="M45" s="148">
        <f t="shared" si="4"/>
        <v>0</v>
      </c>
      <c r="N45" s="91" t="str">
        <f>IF(ISNUMBER(AA45),VLOOKUP(AC45,VLookup!$A$23:$B$47,2,FALSE),"")</f>
        <v/>
      </c>
      <c r="AA45" s="101" t="str">
        <f>IF(ISTEXT(L45),VLOOKUP(L45,VLookup!$A$2:$B$6,2,"FALSE"),"")</f>
        <v/>
      </c>
      <c r="AB45" s="101" t="str">
        <f>IF(ISTEXT(J45),VLOOKUP(J45,VLookup!$A$13:$B$17,2,"False"),"")</f>
        <v/>
      </c>
      <c r="AC45" s="101" t="str">
        <f t="shared" si="1"/>
        <v/>
      </c>
    </row>
    <row r="46" spans="1:29" ht="31.5" customHeight="1" thickTop="1" thickBot="1">
      <c r="A46" s="3"/>
      <c r="B46" s="161"/>
      <c r="C46" s="148" t="s">
        <v>217</v>
      </c>
      <c r="D46" s="148" t="s">
        <v>216</v>
      </c>
      <c r="E46" s="148"/>
      <c r="F46" s="148"/>
      <c r="G46" s="164"/>
      <c r="H46" s="147" t="s">
        <v>266</v>
      </c>
      <c r="I46" s="148"/>
      <c r="J46" s="148"/>
      <c r="K46" s="148"/>
      <c r="L46" s="148">
        <f t="shared" si="4"/>
        <v>0</v>
      </c>
      <c r="M46" s="148">
        <f t="shared" si="4"/>
        <v>0</v>
      </c>
      <c r="N46" s="91" t="str">
        <f>IF(ISNUMBER(AA46),VLOOKUP(AC46,VLookup!$A$23:$B$47,2,FALSE),"")</f>
        <v/>
      </c>
      <c r="AA46" s="101" t="str">
        <f>IF(ISTEXT(L46),VLOOKUP(L46,VLookup!$A$2:$B$6,2,"FALSE"),"")</f>
        <v/>
      </c>
      <c r="AB46" s="101" t="str">
        <f>IF(ISTEXT(J46),VLOOKUP(J46,VLookup!$A$13:$B$17,2,"False"),"")</f>
        <v/>
      </c>
      <c r="AC46" s="101" t="str">
        <f t="shared" si="1"/>
        <v/>
      </c>
    </row>
    <row r="47" spans="1:29" ht="31.5" customHeight="1" thickTop="1" thickBot="1">
      <c r="A47" s="3"/>
      <c r="B47" s="161"/>
      <c r="C47" s="146" t="s">
        <v>220</v>
      </c>
      <c r="D47" s="148" t="s">
        <v>219</v>
      </c>
      <c r="E47" s="146"/>
      <c r="F47" s="148"/>
      <c r="G47" s="164"/>
      <c r="H47" s="147" t="s">
        <v>267</v>
      </c>
      <c r="I47" s="146"/>
      <c r="J47" s="148"/>
      <c r="K47" s="146"/>
      <c r="L47" s="148">
        <f t="shared" si="4"/>
        <v>0</v>
      </c>
      <c r="M47" s="146">
        <f t="shared" si="4"/>
        <v>0</v>
      </c>
      <c r="N47" s="91" t="str">
        <f>IF(ISNUMBER(AA47),VLOOKUP(AC47,VLookup!$A$23:$B$47,2,FALSE),"")</f>
        <v/>
      </c>
      <c r="AA47" s="101" t="str">
        <f>IF(ISTEXT(L47),VLOOKUP(L47,VLookup!$A$2:$B$6,2,"FALSE"),"")</f>
        <v/>
      </c>
      <c r="AB47" s="101" t="str">
        <f>IF(ISTEXT(J47),VLOOKUP(J47,VLookup!$A$13:$B$17,2,"False"),"")</f>
        <v/>
      </c>
      <c r="AC47" s="101" t="str">
        <f t="shared" si="1"/>
        <v/>
      </c>
    </row>
    <row r="48" spans="1:29" ht="31.5" customHeight="1" thickTop="1" thickBot="1">
      <c r="A48" s="3"/>
      <c r="B48" s="161"/>
      <c r="C48" s="146" t="s">
        <v>223</v>
      </c>
      <c r="D48" s="146" t="s">
        <v>222</v>
      </c>
      <c r="E48" s="146"/>
      <c r="F48" s="146"/>
      <c r="G48" s="164"/>
      <c r="H48" s="145" t="s">
        <v>268</v>
      </c>
      <c r="I48" s="146"/>
      <c r="J48" s="146"/>
      <c r="K48" s="146"/>
      <c r="L48" s="146">
        <f t="shared" si="4"/>
        <v>0</v>
      </c>
      <c r="M48" s="146">
        <f t="shared" si="4"/>
        <v>0</v>
      </c>
      <c r="N48" s="91" t="str">
        <f>IF(ISNUMBER(AA48),VLOOKUP(AC48,VLookup!$A$23:$B$47,2,FALSE),"")</f>
        <v/>
      </c>
      <c r="AA48" s="101" t="str">
        <f>IF(ISTEXT(L48),VLOOKUP(L48,VLookup!$A$2:$B$6,2,"FALSE"),"")</f>
        <v/>
      </c>
      <c r="AB48" s="101" t="str">
        <f>IF(ISTEXT(J48),VLOOKUP(J48,VLookup!$A$13:$B$17,2,"False"),"")</f>
        <v/>
      </c>
      <c r="AC48" s="101" t="str">
        <f t="shared" si="1"/>
        <v/>
      </c>
    </row>
    <row r="49" spans="1:29" ht="31.5" customHeight="1" thickTop="1" thickBot="1">
      <c r="A49" s="3"/>
      <c r="B49" s="162"/>
      <c r="C49" s="148" t="s">
        <v>226</v>
      </c>
      <c r="D49" s="146" t="s">
        <v>225</v>
      </c>
      <c r="E49" s="148"/>
      <c r="F49" s="146"/>
      <c r="G49" s="164"/>
      <c r="H49" s="145" t="s">
        <v>269</v>
      </c>
      <c r="I49" s="148"/>
      <c r="J49" s="146"/>
      <c r="K49" s="148"/>
      <c r="L49" s="146">
        <f t="shared" si="4"/>
        <v>0</v>
      </c>
      <c r="M49" s="148">
        <f t="shared" si="4"/>
        <v>0</v>
      </c>
      <c r="N49" s="91" t="str">
        <f>IF(ISNUMBER(AA49),VLOOKUP(AC49,VLookup!$A$23:$B$47,2,FALSE),"")</f>
        <v/>
      </c>
      <c r="AA49" s="101" t="str">
        <f>IF(ISTEXT(L49),VLOOKUP(L49,VLookup!$A$2:$B$6,2,"FALSE"),"")</f>
        <v/>
      </c>
      <c r="AB49" s="101" t="str">
        <f>IF(ISTEXT(J49),VLOOKUP(J49,VLookup!$A$13:$B$17,2,"False"),"")</f>
        <v/>
      </c>
      <c r="AC49" s="101" t="str">
        <f t="shared" si="1"/>
        <v/>
      </c>
    </row>
    <row r="50" spans="1:29" ht="18.3">
      <c r="A50" s="3"/>
      <c r="B50" s="1"/>
      <c r="C50" s="2"/>
      <c r="D50" s="2"/>
      <c r="E50" s="7"/>
      <c r="H50" s="2"/>
      <c r="I50" s="7"/>
      <c r="L50" s="7"/>
    </row>
    <row r="51" spans="1:29" ht="18.3">
      <c r="A51" s="8"/>
      <c r="B51" s="53" t="str">
        <f>IF(A51=1,IF(#REF!&lt;43,"Please complete the mandatory questions - " &amp;#REF!,""),"")</f>
        <v/>
      </c>
      <c r="E51" s="54"/>
      <c r="I51" s="54"/>
      <c r="L51" s="54"/>
    </row>
    <row r="52" spans="1:29" ht="18.3">
      <c r="A52" s="3"/>
      <c r="B52" s="54"/>
      <c r="C52" s="54"/>
      <c r="D52" s="54"/>
      <c r="E52" s="54"/>
      <c r="H52" s="54"/>
      <c r="I52" s="54"/>
      <c r="L52" s="54"/>
    </row>
  </sheetData>
  <mergeCells count="7">
    <mergeCell ref="AA3:AC3"/>
    <mergeCell ref="B44:B49"/>
    <mergeCell ref="H3:J3"/>
    <mergeCell ref="L3:M3"/>
    <mergeCell ref="B5:B14"/>
    <mergeCell ref="B16:B23"/>
    <mergeCell ref="B25:B42"/>
  </mergeCells>
  <conditionalFormatting sqref="M25:M42">
    <cfRule type="cellIs" dxfId="209" priority="854" operator="equal">
      <formula>"Medium Tolerance"</formula>
    </cfRule>
    <cfRule type="cellIs" dxfId="208" priority="855" operator="equal">
      <formula>"Limited Tolerance"</formula>
    </cfRule>
  </conditionalFormatting>
  <conditionalFormatting sqref="M25:M42">
    <cfRule type="cellIs" dxfId="207" priority="853" operator="equal">
      <formula>"No Tolerance"</formula>
    </cfRule>
  </conditionalFormatting>
  <conditionalFormatting sqref="F51:G51">
    <cfRule type="containsText" dxfId="206" priority="852" operator="containsText" text="Reconsider Tolerance">
      <formula>NOT(ISERROR(SEARCH("Reconsider Tolerance",F51)))</formula>
    </cfRule>
  </conditionalFormatting>
  <conditionalFormatting sqref="M25:M42">
    <cfRule type="cellIs" dxfId="205" priority="850" operator="equal">
      <formula>"Maximum Tolerance"</formula>
    </cfRule>
    <cfRule type="cellIs" dxfId="204" priority="851" operator="equal">
      <formula>"Good Tolerance"</formula>
    </cfRule>
  </conditionalFormatting>
  <conditionalFormatting sqref="G14:G15 G24 G43 K24">
    <cfRule type="cellIs" dxfId="203" priority="846" operator="equal">
      <formula>5</formula>
    </cfRule>
    <cfRule type="cellIs" dxfId="202" priority="847" operator="equal">
      <formula>4</formula>
    </cfRule>
    <cfRule type="cellIs" dxfId="201" priority="848" operator="equal">
      <formula>3</formula>
    </cfRule>
    <cfRule type="cellIs" dxfId="200" priority="849" operator="equal">
      <formula>2</formula>
    </cfRule>
  </conditionalFormatting>
  <conditionalFormatting sqref="G14:G15 G24 G43 K24">
    <cfRule type="cellIs" dxfId="199" priority="845" operator="equal">
      <formula>1</formula>
    </cfRule>
  </conditionalFormatting>
  <conditionalFormatting sqref="G5:G6">
    <cfRule type="cellIs" dxfId="198" priority="836" operator="equal">
      <formula>5</formula>
    </cfRule>
    <cfRule type="cellIs" dxfId="197" priority="837" operator="equal">
      <formula>4</formula>
    </cfRule>
    <cfRule type="cellIs" dxfId="196" priority="838" operator="equal">
      <formula>3</formula>
    </cfRule>
    <cfRule type="cellIs" dxfId="195" priority="839" operator="equal">
      <formula>2</formula>
    </cfRule>
  </conditionalFormatting>
  <conditionalFormatting sqref="G5:G6">
    <cfRule type="cellIs" dxfId="194" priority="835" operator="equal">
      <formula>1</formula>
    </cfRule>
  </conditionalFormatting>
  <conditionalFormatting sqref="G13">
    <cfRule type="cellIs" dxfId="193" priority="826" operator="equal">
      <formula>5</formula>
    </cfRule>
    <cfRule type="cellIs" dxfId="192" priority="827" operator="equal">
      <formula>4</formula>
    </cfRule>
    <cfRule type="cellIs" dxfId="191" priority="828" operator="equal">
      <formula>3</formula>
    </cfRule>
    <cfRule type="cellIs" dxfId="190" priority="829" operator="equal">
      <formula>2</formula>
    </cfRule>
  </conditionalFormatting>
  <conditionalFormatting sqref="G13">
    <cfRule type="cellIs" dxfId="189" priority="825" operator="equal">
      <formula>1</formula>
    </cfRule>
  </conditionalFormatting>
  <conditionalFormatting sqref="G12">
    <cfRule type="cellIs" dxfId="188" priority="821" operator="equal">
      <formula>5</formula>
    </cfRule>
    <cfRule type="cellIs" dxfId="187" priority="822" operator="equal">
      <formula>4</formula>
    </cfRule>
    <cfRule type="cellIs" dxfId="186" priority="823" operator="equal">
      <formula>3</formula>
    </cfRule>
    <cfRule type="cellIs" dxfId="185" priority="824" operator="equal">
      <formula>2</formula>
    </cfRule>
  </conditionalFormatting>
  <conditionalFormatting sqref="G12">
    <cfRule type="cellIs" dxfId="184" priority="820" operator="equal">
      <formula>1</formula>
    </cfRule>
  </conditionalFormatting>
  <conditionalFormatting sqref="G11">
    <cfRule type="cellIs" dxfId="183" priority="761" operator="equal">
      <formula>5</formula>
    </cfRule>
    <cfRule type="cellIs" dxfId="182" priority="762" operator="equal">
      <formula>4</formula>
    </cfRule>
    <cfRule type="cellIs" dxfId="181" priority="763" operator="equal">
      <formula>3</formula>
    </cfRule>
    <cfRule type="cellIs" dxfId="180" priority="764" operator="equal">
      <formula>2</formula>
    </cfRule>
  </conditionalFormatting>
  <conditionalFormatting sqref="G11">
    <cfRule type="cellIs" dxfId="179" priority="760" operator="equal">
      <formula>1</formula>
    </cfRule>
  </conditionalFormatting>
  <conditionalFormatting sqref="G10">
    <cfRule type="cellIs" dxfId="178" priority="736" operator="equal">
      <formula>5</formula>
    </cfRule>
    <cfRule type="cellIs" dxfId="177" priority="737" operator="equal">
      <formula>4</formula>
    </cfRule>
    <cfRule type="cellIs" dxfId="176" priority="738" operator="equal">
      <formula>3</formula>
    </cfRule>
    <cfRule type="cellIs" dxfId="175" priority="739" operator="equal">
      <formula>2</formula>
    </cfRule>
  </conditionalFormatting>
  <conditionalFormatting sqref="G10">
    <cfRule type="cellIs" dxfId="174" priority="735" operator="equal">
      <formula>1</formula>
    </cfRule>
  </conditionalFormatting>
  <conditionalFormatting sqref="G9">
    <cfRule type="cellIs" dxfId="173" priority="731" operator="equal">
      <formula>5</formula>
    </cfRule>
    <cfRule type="cellIs" dxfId="172" priority="732" operator="equal">
      <formula>4</formula>
    </cfRule>
    <cfRule type="cellIs" dxfId="171" priority="733" operator="equal">
      <formula>3</formula>
    </cfRule>
    <cfRule type="cellIs" dxfId="170" priority="734" operator="equal">
      <formula>2</formula>
    </cfRule>
  </conditionalFormatting>
  <conditionalFormatting sqref="G9">
    <cfRule type="cellIs" dxfId="169" priority="730" operator="equal">
      <formula>1</formula>
    </cfRule>
  </conditionalFormatting>
  <conditionalFormatting sqref="G7">
    <cfRule type="cellIs" dxfId="168" priority="721" operator="equal">
      <formula>5</formula>
    </cfRule>
    <cfRule type="cellIs" dxfId="167" priority="722" operator="equal">
      <formula>4</formula>
    </cfRule>
    <cfRule type="cellIs" dxfId="166" priority="723" operator="equal">
      <formula>3</formula>
    </cfRule>
    <cfRule type="cellIs" dxfId="165" priority="724" operator="equal">
      <formula>2</formula>
    </cfRule>
  </conditionalFormatting>
  <conditionalFormatting sqref="G7">
    <cfRule type="cellIs" dxfId="164" priority="720" operator="equal">
      <formula>1</formula>
    </cfRule>
  </conditionalFormatting>
  <conditionalFormatting sqref="G8">
    <cfRule type="cellIs" dxfId="163" priority="676" operator="equal">
      <formula>5</formula>
    </cfRule>
    <cfRule type="cellIs" dxfId="162" priority="677" operator="equal">
      <formula>4</formula>
    </cfRule>
    <cfRule type="cellIs" dxfId="161" priority="678" operator="equal">
      <formula>3</formula>
    </cfRule>
    <cfRule type="cellIs" dxfId="160" priority="679" operator="equal">
      <formula>2</formula>
    </cfRule>
  </conditionalFormatting>
  <conditionalFormatting sqref="G8">
    <cfRule type="cellIs" dxfId="159" priority="675" operator="equal">
      <formula>1</formula>
    </cfRule>
  </conditionalFormatting>
  <conditionalFormatting sqref="J51">
    <cfRule type="containsText" dxfId="158" priority="661" operator="containsText" text="Reconsider Tolerance">
      <formula>NOT(ISERROR(SEARCH("Reconsider Tolerance",J51)))</formula>
    </cfRule>
  </conditionalFormatting>
  <conditionalFormatting sqref="K51">
    <cfRule type="containsText" dxfId="157" priority="643" operator="containsText" text="Reconsider Tolerance">
      <formula>NOT(ISERROR(SEARCH("Reconsider Tolerance",K51)))</formula>
    </cfRule>
  </conditionalFormatting>
  <conditionalFormatting sqref="K43 K15">
    <cfRule type="cellIs" dxfId="156" priority="639" operator="equal">
      <formula>5</formula>
    </cfRule>
    <cfRule type="cellIs" dxfId="155" priority="640" operator="equal">
      <formula>4</formula>
    </cfRule>
    <cfRule type="cellIs" dxfId="154" priority="641" operator="equal">
      <formula>3</formula>
    </cfRule>
    <cfRule type="cellIs" dxfId="153" priority="642" operator="equal">
      <formula>2</formula>
    </cfRule>
  </conditionalFormatting>
  <conditionalFormatting sqref="K43 K15">
    <cfRule type="cellIs" dxfId="152" priority="638" operator="equal">
      <formula>1</formula>
    </cfRule>
  </conditionalFormatting>
  <conditionalFormatting sqref="L43 L24 L15">
    <cfRule type="cellIs" dxfId="151" priority="461" operator="equal">
      <formula>"Medium Tolerance"</formula>
    </cfRule>
    <cfRule type="cellIs" dxfId="150" priority="462" operator="equal">
      <formula>"Limited Tolerance"</formula>
    </cfRule>
  </conditionalFormatting>
  <conditionalFormatting sqref="L43 L24 L15">
    <cfRule type="cellIs" dxfId="149" priority="460" operator="equal">
      <formula>"No Tolerance"</formula>
    </cfRule>
  </conditionalFormatting>
  <conditionalFormatting sqref="M51">
    <cfRule type="containsText" dxfId="148" priority="459" operator="containsText" text="Reconsider Tolerance">
      <formula>NOT(ISERROR(SEARCH("Reconsider Tolerance",M51)))</formula>
    </cfRule>
  </conditionalFormatting>
  <conditionalFormatting sqref="L43 L24 L15">
    <cfRule type="cellIs" dxfId="147" priority="457" operator="equal">
      <formula>"Maximum Tolerance"</formula>
    </cfRule>
    <cfRule type="cellIs" dxfId="146" priority="458" operator="equal">
      <formula>"Good Tolerance"</formula>
    </cfRule>
  </conditionalFormatting>
  <conditionalFormatting sqref="M43 M24 M15">
    <cfRule type="cellIs" dxfId="145" priority="453" operator="equal">
      <formula>5</formula>
    </cfRule>
    <cfRule type="cellIs" dxfId="144" priority="454" operator="equal">
      <formula>4</formula>
    </cfRule>
    <cfRule type="cellIs" dxfId="143" priority="455" operator="equal">
      <formula>3</formula>
    </cfRule>
    <cfRule type="cellIs" dxfId="142" priority="456" operator="equal">
      <formula>2</formula>
    </cfRule>
  </conditionalFormatting>
  <conditionalFormatting sqref="M43 M24 M15">
    <cfRule type="cellIs" dxfId="141" priority="452" operator="equal">
      <formula>1</formula>
    </cfRule>
  </conditionalFormatting>
  <conditionalFormatting sqref="E15 E24 E43">
    <cfRule type="cellIs" dxfId="140" priority="240" operator="equal">
      <formula>"Medium Tolerance"</formula>
    </cfRule>
    <cfRule type="cellIs" dxfId="139" priority="241" operator="equal">
      <formula>"Limited Tolerance"</formula>
    </cfRule>
  </conditionalFormatting>
  <conditionalFormatting sqref="E15 E24 E43">
    <cfRule type="cellIs" dxfId="138" priority="239" operator="equal">
      <formula>"No Tolerance"</formula>
    </cfRule>
  </conditionalFormatting>
  <conditionalFormatting sqref="E15 E24 E43">
    <cfRule type="cellIs" dxfId="137" priority="237" operator="equal">
      <formula>"Maximum Tolerance"</formula>
    </cfRule>
    <cfRule type="cellIs" dxfId="136" priority="238" operator="equal">
      <formula>"Good Tolerance"</formula>
    </cfRule>
  </conditionalFormatting>
  <conditionalFormatting sqref="F15 F24 F43">
    <cfRule type="cellIs" dxfId="135" priority="233" operator="equal">
      <formula>5</formula>
    </cfRule>
    <cfRule type="cellIs" dxfId="134" priority="234" operator="equal">
      <formula>4</formula>
    </cfRule>
    <cfRule type="cellIs" dxfId="133" priority="235" operator="equal">
      <formula>3</formula>
    </cfRule>
    <cfRule type="cellIs" dxfId="132" priority="236" operator="equal">
      <formula>2</formula>
    </cfRule>
  </conditionalFormatting>
  <conditionalFormatting sqref="F15 F24 F43">
    <cfRule type="cellIs" dxfId="131" priority="232" operator="equal">
      <formula>1</formula>
    </cfRule>
  </conditionalFormatting>
  <conditionalFormatting sqref="I43 I24 I15">
    <cfRule type="cellIs" dxfId="130" priority="190" operator="equal">
      <formula>"Medium Tolerance"</formula>
    </cfRule>
    <cfRule type="cellIs" dxfId="129" priority="191" operator="equal">
      <formula>"Limited Tolerance"</formula>
    </cfRule>
  </conditionalFormatting>
  <conditionalFormatting sqref="I43 I24 I15">
    <cfRule type="cellIs" dxfId="128" priority="189" operator="equal">
      <formula>"No Tolerance"</formula>
    </cfRule>
  </conditionalFormatting>
  <conditionalFormatting sqref="I43 I24 I15">
    <cfRule type="cellIs" dxfId="127" priority="187" operator="equal">
      <formula>"Maximum Tolerance"</formula>
    </cfRule>
    <cfRule type="cellIs" dxfId="126" priority="188" operator="equal">
      <formula>"Good Tolerance"</formula>
    </cfRule>
  </conditionalFormatting>
  <conditionalFormatting sqref="J43 J24 J15">
    <cfRule type="cellIs" dxfId="125" priority="183" operator="equal">
      <formula>5</formula>
    </cfRule>
    <cfRule type="cellIs" dxfId="124" priority="184" operator="equal">
      <formula>4</formula>
    </cfRule>
    <cfRule type="cellIs" dxfId="123" priority="185" operator="equal">
      <formula>3</formula>
    </cfRule>
    <cfRule type="cellIs" dxfId="122" priority="186" operator="equal">
      <formula>2</formula>
    </cfRule>
  </conditionalFormatting>
  <conditionalFormatting sqref="J43 J24 J15">
    <cfRule type="cellIs" dxfId="121" priority="182" operator="equal">
      <formula>1</formula>
    </cfRule>
  </conditionalFormatting>
  <conditionalFormatting sqref="N51">
    <cfRule type="containsText" dxfId="120" priority="126" operator="containsText" text="Reconsider Tolerance">
      <formula>NOT(ISERROR(SEARCH("Reconsider Tolerance",N51)))</formula>
    </cfRule>
  </conditionalFormatting>
  <conditionalFormatting sqref="N5:N49">
    <cfRule type="beginsWith" dxfId="119" priority="96" operator="beginsWith" text="Low">
      <formula>LEFT(N5,LEN("Low"))="Low"</formula>
    </cfRule>
    <cfRule type="beginsWith" dxfId="118" priority="97" operator="beginsWith" text="Very low">
      <formula>LEFT(N5,LEN("Very low"))="Very low"</formula>
    </cfRule>
    <cfRule type="beginsWith" dxfId="117" priority="98" operator="beginsWith" text="Very high">
      <formula>LEFT(N5,LEN("Very high"))="Very high"</formula>
    </cfRule>
    <cfRule type="beginsWith" dxfId="116" priority="99" operator="beginsWith" text="High">
      <formula>LEFT(N5,LEN("High"))="High"</formula>
    </cfRule>
    <cfRule type="beginsWith" dxfId="115" priority="100" operator="beginsWith" text="Moderate">
      <formula>LEFT(N5,LEN("Moderate"))="Moderate"</formula>
    </cfRule>
  </conditionalFormatting>
  <conditionalFormatting sqref="G16:G17">
    <cfRule type="cellIs" dxfId="114" priority="92" operator="equal">
      <formula>5</formula>
    </cfRule>
    <cfRule type="cellIs" dxfId="113" priority="93" operator="equal">
      <formula>4</formula>
    </cfRule>
    <cfRule type="cellIs" dxfId="112" priority="94" operator="equal">
      <formula>3</formula>
    </cfRule>
    <cfRule type="cellIs" dxfId="111" priority="95" operator="equal">
      <formula>2</formula>
    </cfRule>
  </conditionalFormatting>
  <conditionalFormatting sqref="G16:G17">
    <cfRule type="cellIs" dxfId="110" priority="91" operator="equal">
      <formula>1</formula>
    </cfRule>
  </conditionalFormatting>
  <conditionalFormatting sqref="G23">
    <cfRule type="cellIs" dxfId="109" priority="87" operator="equal">
      <formula>5</formula>
    </cfRule>
    <cfRule type="cellIs" dxfId="108" priority="88" operator="equal">
      <formula>4</formula>
    </cfRule>
    <cfRule type="cellIs" dxfId="107" priority="89" operator="equal">
      <formula>3</formula>
    </cfRule>
    <cfRule type="cellIs" dxfId="106" priority="90" operator="equal">
      <formula>2</formula>
    </cfRule>
  </conditionalFormatting>
  <conditionalFormatting sqref="G23">
    <cfRule type="cellIs" dxfId="105" priority="86" operator="equal">
      <formula>1</formula>
    </cfRule>
  </conditionalFormatting>
  <conditionalFormatting sqref="G22">
    <cfRule type="cellIs" dxfId="104" priority="82" operator="equal">
      <formula>5</formula>
    </cfRule>
    <cfRule type="cellIs" dxfId="103" priority="83" operator="equal">
      <formula>4</formula>
    </cfRule>
    <cfRule type="cellIs" dxfId="102" priority="84" operator="equal">
      <formula>3</formula>
    </cfRule>
    <cfRule type="cellIs" dxfId="101" priority="85" operator="equal">
      <formula>2</formula>
    </cfRule>
  </conditionalFormatting>
  <conditionalFormatting sqref="G22">
    <cfRule type="cellIs" dxfId="100" priority="81" operator="equal">
      <formula>1</formula>
    </cfRule>
  </conditionalFormatting>
  <conditionalFormatting sqref="G21">
    <cfRule type="cellIs" dxfId="99" priority="77" operator="equal">
      <formula>5</formula>
    </cfRule>
    <cfRule type="cellIs" dxfId="98" priority="78" operator="equal">
      <formula>4</formula>
    </cfRule>
    <cfRule type="cellIs" dxfId="97" priority="79" operator="equal">
      <formula>3</formula>
    </cfRule>
    <cfRule type="cellIs" dxfId="96" priority="80" operator="equal">
      <formula>2</formula>
    </cfRule>
  </conditionalFormatting>
  <conditionalFormatting sqref="G21">
    <cfRule type="cellIs" dxfId="95" priority="76" operator="equal">
      <formula>1</formula>
    </cfRule>
  </conditionalFormatting>
  <conditionalFormatting sqref="G20">
    <cfRule type="cellIs" dxfId="94" priority="72" operator="equal">
      <formula>5</formula>
    </cfRule>
    <cfRule type="cellIs" dxfId="93" priority="73" operator="equal">
      <formula>4</formula>
    </cfRule>
    <cfRule type="cellIs" dxfId="92" priority="74" operator="equal">
      <formula>3</formula>
    </cfRule>
    <cfRule type="cellIs" dxfId="91" priority="75" operator="equal">
      <formula>2</formula>
    </cfRule>
  </conditionalFormatting>
  <conditionalFormatting sqref="G20">
    <cfRule type="cellIs" dxfId="90" priority="71" operator="equal">
      <formula>1</formula>
    </cfRule>
  </conditionalFormatting>
  <conditionalFormatting sqref="G18">
    <cfRule type="cellIs" dxfId="89" priority="67" operator="equal">
      <formula>5</formula>
    </cfRule>
    <cfRule type="cellIs" dxfId="88" priority="68" operator="equal">
      <formula>4</formula>
    </cfRule>
    <cfRule type="cellIs" dxfId="87" priority="69" operator="equal">
      <formula>3</formula>
    </cfRule>
    <cfRule type="cellIs" dxfId="86" priority="70" operator="equal">
      <formula>2</formula>
    </cfRule>
  </conditionalFormatting>
  <conditionalFormatting sqref="G18">
    <cfRule type="cellIs" dxfId="85" priority="66" operator="equal">
      <formula>1</formula>
    </cfRule>
  </conditionalFormatting>
  <conditionalFormatting sqref="G19">
    <cfRule type="cellIs" dxfId="84" priority="62" operator="equal">
      <formula>5</formula>
    </cfRule>
    <cfRule type="cellIs" dxfId="83" priority="63" operator="equal">
      <formula>4</formula>
    </cfRule>
    <cfRule type="cellIs" dxfId="82" priority="64" operator="equal">
      <formula>3</formula>
    </cfRule>
    <cfRule type="cellIs" dxfId="81" priority="65" operator="equal">
      <formula>2</formula>
    </cfRule>
  </conditionalFormatting>
  <conditionalFormatting sqref="G19">
    <cfRule type="cellIs" dxfId="80" priority="61" operator="equal">
      <formula>1</formula>
    </cfRule>
  </conditionalFormatting>
  <conditionalFormatting sqref="G25:G26 G33:G34 G41:G42">
    <cfRule type="cellIs" dxfId="79" priority="57" operator="equal">
      <formula>5</formula>
    </cfRule>
    <cfRule type="cellIs" dxfId="78" priority="58" operator="equal">
      <formula>4</formula>
    </cfRule>
    <cfRule type="cellIs" dxfId="77" priority="59" operator="equal">
      <formula>3</formula>
    </cfRule>
    <cfRule type="cellIs" dxfId="76" priority="60" operator="equal">
      <formula>2</formula>
    </cfRule>
  </conditionalFormatting>
  <conditionalFormatting sqref="G25:G26 G33:G34 G41:G42">
    <cfRule type="cellIs" dxfId="75" priority="56" operator="equal">
      <formula>1</formula>
    </cfRule>
  </conditionalFormatting>
  <conditionalFormatting sqref="G32 G40">
    <cfRule type="cellIs" dxfId="74" priority="52" operator="equal">
      <formula>5</formula>
    </cfRule>
    <cfRule type="cellIs" dxfId="73" priority="53" operator="equal">
      <formula>4</formula>
    </cfRule>
    <cfRule type="cellIs" dxfId="72" priority="54" operator="equal">
      <formula>3</formula>
    </cfRule>
    <cfRule type="cellIs" dxfId="71" priority="55" operator="equal">
      <formula>2</formula>
    </cfRule>
  </conditionalFormatting>
  <conditionalFormatting sqref="G32 G40">
    <cfRule type="cellIs" dxfId="70" priority="51" operator="equal">
      <formula>1</formula>
    </cfRule>
  </conditionalFormatting>
  <conditionalFormatting sqref="G31 G39">
    <cfRule type="cellIs" dxfId="69" priority="47" operator="equal">
      <formula>5</formula>
    </cfRule>
    <cfRule type="cellIs" dxfId="68" priority="48" operator="equal">
      <formula>4</formula>
    </cfRule>
    <cfRule type="cellIs" dxfId="67" priority="49" operator="equal">
      <formula>3</formula>
    </cfRule>
    <cfRule type="cellIs" dxfId="66" priority="50" operator="equal">
      <formula>2</formula>
    </cfRule>
  </conditionalFormatting>
  <conditionalFormatting sqref="G31 G39">
    <cfRule type="cellIs" dxfId="65" priority="46" operator="equal">
      <formula>1</formula>
    </cfRule>
  </conditionalFormatting>
  <conditionalFormatting sqref="G30 G38">
    <cfRule type="cellIs" dxfId="64" priority="42" operator="equal">
      <formula>5</formula>
    </cfRule>
    <cfRule type="cellIs" dxfId="63" priority="43" operator="equal">
      <formula>4</formula>
    </cfRule>
    <cfRule type="cellIs" dxfId="62" priority="44" operator="equal">
      <formula>3</formula>
    </cfRule>
    <cfRule type="cellIs" dxfId="61" priority="45" operator="equal">
      <formula>2</formula>
    </cfRule>
  </conditionalFormatting>
  <conditionalFormatting sqref="G30 G38">
    <cfRule type="cellIs" dxfId="60" priority="41" operator="equal">
      <formula>1</formula>
    </cfRule>
  </conditionalFormatting>
  <conditionalFormatting sqref="G29 G37">
    <cfRule type="cellIs" dxfId="59" priority="37" operator="equal">
      <formula>5</formula>
    </cfRule>
    <cfRule type="cellIs" dxfId="58" priority="38" operator="equal">
      <formula>4</formula>
    </cfRule>
    <cfRule type="cellIs" dxfId="57" priority="39" operator="equal">
      <formula>3</formula>
    </cfRule>
    <cfRule type="cellIs" dxfId="56" priority="40" operator="equal">
      <formula>2</formula>
    </cfRule>
  </conditionalFormatting>
  <conditionalFormatting sqref="G29 G37">
    <cfRule type="cellIs" dxfId="55" priority="36" operator="equal">
      <formula>1</formula>
    </cfRule>
  </conditionalFormatting>
  <conditionalFormatting sqref="G27 G35">
    <cfRule type="cellIs" dxfId="54" priority="32" operator="equal">
      <formula>5</formula>
    </cfRule>
    <cfRule type="cellIs" dxfId="53" priority="33" operator="equal">
      <formula>4</formula>
    </cfRule>
    <cfRule type="cellIs" dxfId="52" priority="34" operator="equal">
      <formula>3</formula>
    </cfRule>
    <cfRule type="cellIs" dxfId="51" priority="35" operator="equal">
      <formula>2</formula>
    </cfRule>
  </conditionalFormatting>
  <conditionalFormatting sqref="G27 G35">
    <cfRule type="cellIs" dxfId="50" priority="31" operator="equal">
      <formula>1</formula>
    </cfRule>
  </conditionalFormatting>
  <conditionalFormatting sqref="G28 G36">
    <cfRule type="cellIs" dxfId="49" priority="27" operator="equal">
      <formula>5</formula>
    </cfRule>
    <cfRule type="cellIs" dxfId="48" priority="28" operator="equal">
      <formula>4</formula>
    </cfRule>
    <cfRule type="cellIs" dxfId="47" priority="29" operator="equal">
      <formula>3</formula>
    </cfRule>
    <cfRule type="cellIs" dxfId="46" priority="30" operator="equal">
      <formula>2</formula>
    </cfRule>
  </conditionalFormatting>
  <conditionalFormatting sqref="G28 G36">
    <cfRule type="cellIs" dxfId="45" priority="26" operator="equal">
      <formula>1</formula>
    </cfRule>
  </conditionalFormatting>
  <conditionalFormatting sqref="G44:G45">
    <cfRule type="cellIs" dxfId="44" priority="22" operator="equal">
      <formula>5</formula>
    </cfRule>
    <cfRule type="cellIs" dxfId="43" priority="23" operator="equal">
      <formula>4</formula>
    </cfRule>
    <cfRule type="cellIs" dxfId="42" priority="24" operator="equal">
      <formula>3</formula>
    </cfRule>
    <cfRule type="cellIs" dxfId="41" priority="25" operator="equal">
      <formula>2</formula>
    </cfRule>
  </conditionalFormatting>
  <conditionalFormatting sqref="G44:G45">
    <cfRule type="cellIs" dxfId="40" priority="21" operator="equal">
      <formula>1</formula>
    </cfRule>
  </conditionalFormatting>
  <conditionalFormatting sqref="G49">
    <cfRule type="cellIs" dxfId="39" priority="17" operator="equal">
      <formula>5</formula>
    </cfRule>
    <cfRule type="cellIs" dxfId="38" priority="18" operator="equal">
      <formula>4</formula>
    </cfRule>
    <cfRule type="cellIs" dxfId="37" priority="19" operator="equal">
      <formula>3</formula>
    </cfRule>
    <cfRule type="cellIs" dxfId="36" priority="20" operator="equal">
      <formula>2</formula>
    </cfRule>
  </conditionalFormatting>
  <conditionalFormatting sqref="G49">
    <cfRule type="cellIs" dxfId="35" priority="16" operator="equal">
      <formula>1</formula>
    </cfRule>
  </conditionalFormatting>
  <conditionalFormatting sqref="G48">
    <cfRule type="cellIs" dxfId="34" priority="12" operator="equal">
      <formula>5</formula>
    </cfRule>
    <cfRule type="cellIs" dxfId="33" priority="13" operator="equal">
      <formula>4</formula>
    </cfRule>
    <cfRule type="cellIs" dxfId="32" priority="14" operator="equal">
      <formula>3</formula>
    </cfRule>
    <cfRule type="cellIs" dxfId="31" priority="15" operator="equal">
      <formula>2</formula>
    </cfRule>
  </conditionalFormatting>
  <conditionalFormatting sqref="G48">
    <cfRule type="cellIs" dxfId="30" priority="11" operator="equal">
      <formula>1</formula>
    </cfRule>
  </conditionalFormatting>
  <conditionalFormatting sqref="G46">
    <cfRule type="cellIs" dxfId="29" priority="7" operator="equal">
      <formula>5</formula>
    </cfRule>
    <cfRule type="cellIs" dxfId="28" priority="8" operator="equal">
      <formula>4</formula>
    </cfRule>
    <cfRule type="cellIs" dxfId="27" priority="9" operator="equal">
      <formula>3</formula>
    </cfRule>
    <cfRule type="cellIs" dxfId="26" priority="10" operator="equal">
      <formula>2</formula>
    </cfRule>
  </conditionalFormatting>
  <conditionalFormatting sqref="G46">
    <cfRule type="cellIs" dxfId="25" priority="6" operator="equal">
      <formula>1</formula>
    </cfRule>
  </conditionalFormatting>
  <conditionalFormatting sqref="G47">
    <cfRule type="cellIs" dxfId="24" priority="2" operator="equal">
      <formula>5</formula>
    </cfRule>
    <cfRule type="cellIs" dxfId="23" priority="3" operator="equal">
      <formula>4</formula>
    </cfRule>
    <cfRule type="cellIs" dxfId="22" priority="4" operator="equal">
      <formula>3</formula>
    </cfRule>
    <cfRule type="cellIs" dxfId="21" priority="5" operator="equal">
      <formula>2</formula>
    </cfRule>
  </conditionalFormatting>
  <conditionalFormatting sqref="G47">
    <cfRule type="cellIs" dxfId="20" priority="1" operator="equal">
      <formula>1</formula>
    </cfRule>
  </conditionalFormatting>
  <dataValidations count="3">
    <dataValidation type="list" allowBlank="1" showInputMessage="1" showErrorMessage="1" sqref="K5:K49 G5:G49" xr:uid="{00000000-0002-0000-0700-000000000000}">
      <formula1>$B$8:$B$12</formula1>
    </dataValidation>
    <dataValidation allowBlank="1" showInputMessage="1" showErrorMessage="1" promptTitle="Impact level" prompt="Please choose an impact level from the drop-down list" sqref="M5:N49" xr:uid="{00000000-0002-0000-0700-000001000000}"/>
    <dataValidation allowBlank="1" showInputMessage="1" showErrorMessage="1" promptTitle="Likelihood level" prompt="Please choose a likelihood level from the drop-down list" sqref="L5:L49" xr:uid="{00000000-0002-0000-0700-000002000000}"/>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promptTitle="Likelihood Level" prompt="Please choose likelihood level from the drop-down list" xr:uid="{00000000-0002-0000-0700-000003000000}">
          <x14:formula1>
            <xm:f>VLookup!$A$2:$A$6</xm:f>
          </x14:formula1>
          <xm:sqref>I5:I49</xm:sqref>
        </x14:dataValidation>
        <x14:dataValidation type="list" allowBlank="1" showInputMessage="1" showErrorMessage="1" promptTitle="Likelihood level" prompt="Please choose a Likelihood level from the drop-down list" xr:uid="{00000000-0002-0000-0700-000004000000}">
          <x14:formula1>
            <xm:f>VLookup!$A$2:$A$6</xm:f>
          </x14:formula1>
          <xm:sqref>E5:E49</xm:sqref>
        </x14:dataValidation>
        <x14:dataValidation type="list" allowBlank="1" showInputMessage="1" showErrorMessage="1" promptTitle="Impact level" prompt="Please choose an impact level from the drop-down list_x000a_" xr:uid="{00000000-0002-0000-0700-000005000000}">
          <x14:formula1>
            <xm:f>VLookup!$A$13:$A$17</xm:f>
          </x14:formula1>
          <xm:sqref>J5:J49</xm:sqref>
        </x14:dataValidation>
        <x14:dataValidation type="list" allowBlank="1" showInputMessage="1" showErrorMessage="1" promptTitle="Impact level" prompt="Please choose an impact level from the drop-down list" xr:uid="{00000000-0002-0000-0700-000006000000}">
          <x14:formula1>
            <xm:f>VLookup!$A$13:$A$17</xm:f>
          </x14:formula1>
          <xm:sqref>F5:F49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0">
    <tabColor rgb="FFFF0000"/>
  </sheetPr>
  <dimension ref="A1:F55"/>
  <sheetViews>
    <sheetView showGridLines="0" zoomScaleNormal="100" workbookViewId="0">
      <selection activeCell="J8" sqref="J8"/>
    </sheetView>
  </sheetViews>
  <sheetFormatPr defaultRowHeight="12.3"/>
  <cols>
    <col min="1" max="1" width="1.71875" customWidth="1"/>
    <col min="2" max="2" width="14.1640625" customWidth="1"/>
    <col min="3" max="3" width="61.27734375" customWidth="1"/>
    <col min="4" max="4" width="2" customWidth="1"/>
    <col min="5" max="5" width="10.71875" customWidth="1"/>
    <col min="6" max="6" width="5.83203125" customWidth="1"/>
  </cols>
  <sheetData>
    <row r="1" spans="1:6" ht="16.5" customHeight="1"/>
    <row r="2" spans="1:6" ht="59.25" customHeight="1"/>
    <row r="3" spans="1:6" ht="6" customHeight="1"/>
    <row r="4" spans="1:6" ht="15" customHeight="1">
      <c r="B4" s="96"/>
      <c r="C4" s="97"/>
      <c r="D4" s="97"/>
      <c r="E4" s="97"/>
      <c r="F4" s="97"/>
    </row>
    <row r="5" spans="1:6" ht="31.5" thickBot="1">
      <c r="A5" s="3"/>
      <c r="B5" s="9"/>
      <c r="C5" s="103" t="s">
        <v>43</v>
      </c>
      <c r="D5" s="118"/>
      <c r="E5" s="104" t="s">
        <v>97</v>
      </c>
      <c r="F5" s="119"/>
    </row>
    <row r="6" spans="1:6" ht="16.2" customHeight="1" thickTop="1" thickBot="1">
      <c r="A6" s="3"/>
      <c r="B6" s="138" t="s">
        <v>208</v>
      </c>
      <c r="C6" s="146" t="s">
        <v>179</v>
      </c>
      <c r="D6" s="61"/>
      <c r="E6" s="91" t="str">
        <f>' Risk Appetite'!H8</f>
        <v>Moderate</v>
      </c>
      <c r="F6" s="76"/>
    </row>
    <row r="7" spans="1:6" ht="23.25" customHeight="1" thickTop="1" thickBot="1">
      <c r="A7" s="3"/>
      <c r="B7" s="139"/>
      <c r="C7" s="148" t="s">
        <v>182</v>
      </c>
      <c r="D7" s="61"/>
      <c r="E7" s="91" t="str">
        <f>' Risk Appetite'!H9</f>
        <v>Moderate</v>
      </c>
      <c r="F7" s="76"/>
    </row>
    <row r="8" spans="1:6" ht="21.75" customHeight="1" thickTop="1" thickBot="1">
      <c r="A8" s="3"/>
      <c r="B8" s="139"/>
      <c r="C8" s="148" t="s">
        <v>182</v>
      </c>
      <c r="D8" s="61"/>
      <c r="E8" s="91" t="str">
        <f>' Risk Appetite'!H10</f>
        <v>Low</v>
      </c>
      <c r="F8" s="76"/>
    </row>
    <row r="9" spans="1:6" ht="21" customHeight="1" thickTop="1" thickBot="1">
      <c r="A9" s="3"/>
      <c r="B9" s="139"/>
      <c r="C9" s="146" t="s">
        <v>187</v>
      </c>
      <c r="D9" s="61"/>
      <c r="E9" s="91" t="str">
        <f>' Risk Appetite'!H11</f>
        <v>Low</v>
      </c>
      <c r="F9" s="76"/>
    </row>
    <row r="10" spans="1:6" ht="16.2" thickTop="1" thickBot="1">
      <c r="A10" s="3"/>
      <c r="B10" s="139"/>
      <c r="C10" s="146" t="s">
        <v>190</v>
      </c>
      <c r="D10" s="61"/>
      <c r="E10" s="91" t="str">
        <f>' Risk Appetite'!H12</f>
        <v>Low</v>
      </c>
      <c r="F10" s="76"/>
    </row>
    <row r="11" spans="1:6" ht="16.2" thickTop="1" thickBot="1">
      <c r="A11" s="3"/>
      <c r="B11" s="139"/>
      <c r="C11" s="148" t="s">
        <v>193</v>
      </c>
      <c r="D11" s="61"/>
      <c r="E11" s="91" t="str">
        <f>' Risk Appetite'!H13</f>
        <v>Moderate</v>
      </c>
      <c r="F11" s="76"/>
    </row>
    <row r="12" spans="1:6" ht="16.2" thickTop="1" thickBot="1">
      <c r="A12" s="3"/>
      <c r="B12" s="139"/>
      <c r="C12" s="146" t="s">
        <v>196</v>
      </c>
      <c r="D12" s="61"/>
      <c r="E12" s="91" t="str">
        <f>' Risk Appetite'!H14</f>
        <v>Low</v>
      </c>
      <c r="F12" s="76"/>
    </row>
    <row r="13" spans="1:6" ht="16.2" thickTop="1" thickBot="1">
      <c r="A13" s="3"/>
      <c r="B13" s="139"/>
      <c r="C13" s="148" t="s">
        <v>199</v>
      </c>
      <c r="D13" s="61"/>
      <c r="E13" s="91" t="str">
        <f>' Risk Appetite'!H15</f>
        <v>Moderate</v>
      </c>
      <c r="F13" s="76"/>
    </row>
    <row r="14" spans="1:6" ht="16.2" thickTop="1" thickBot="1">
      <c r="A14" s="3"/>
      <c r="B14" s="139"/>
      <c r="C14" s="146" t="s">
        <v>202</v>
      </c>
      <c r="D14" s="61"/>
      <c r="E14" s="91" t="str">
        <f>' Risk Appetite'!H16</f>
        <v>Moderate</v>
      </c>
      <c r="F14" s="76"/>
    </row>
    <row r="15" spans="1:6" ht="16.2" thickTop="1" thickBot="1">
      <c r="A15" s="3"/>
      <c r="B15" s="140"/>
      <c r="C15" s="148" t="s">
        <v>205</v>
      </c>
      <c r="D15" s="61"/>
      <c r="E15" s="91" t="str">
        <f>' Risk Appetite'!H17</f>
        <v>Low</v>
      </c>
      <c r="F15" s="76"/>
    </row>
    <row r="16" spans="1:6" ht="15.9" thickBot="1">
      <c r="A16" s="3"/>
      <c r="B16" s="56"/>
      <c r="C16" s="61"/>
      <c r="D16" s="61"/>
      <c r="E16" s="76"/>
      <c r="F16" s="76"/>
    </row>
    <row r="17" spans="1:6" ht="16.2" customHeight="1" thickTop="1" thickBot="1">
      <c r="A17" s="3"/>
      <c r="B17" s="151" t="s">
        <v>99</v>
      </c>
      <c r="C17" s="146" t="s">
        <v>101</v>
      </c>
      <c r="D17" s="61"/>
      <c r="E17" s="91" t="str">
        <f>' Risk Appetite'!H19</f>
        <v>Low</v>
      </c>
      <c r="F17" s="76"/>
    </row>
    <row r="18" spans="1:6" ht="16.2" thickTop="1" thickBot="1">
      <c r="A18" s="3"/>
      <c r="B18" s="152"/>
      <c r="C18" s="148" t="s">
        <v>102</v>
      </c>
      <c r="D18" s="61"/>
      <c r="E18" s="91" t="str">
        <f>' Risk Appetite'!H20</f>
        <v>Low</v>
      </c>
      <c r="F18" s="76"/>
    </row>
    <row r="19" spans="1:6" ht="16.2" thickTop="1" thickBot="1">
      <c r="A19" s="3"/>
      <c r="B19" s="152"/>
      <c r="C19" s="148" t="s">
        <v>107</v>
      </c>
      <c r="D19" s="61"/>
      <c r="E19" s="91" t="str">
        <f>' Risk Appetite'!H21</f>
        <v>High</v>
      </c>
      <c r="F19" s="76"/>
    </row>
    <row r="20" spans="1:6" ht="16.2" thickTop="1" thickBot="1">
      <c r="A20" s="3"/>
      <c r="B20" s="152"/>
      <c r="C20" s="146" t="s">
        <v>108</v>
      </c>
      <c r="D20" s="61"/>
      <c r="E20" s="91" t="str">
        <f>' Risk Appetite'!H22</f>
        <v>High</v>
      </c>
      <c r="F20" s="76"/>
    </row>
    <row r="21" spans="1:6" ht="16.2" thickTop="1" thickBot="1">
      <c r="A21" s="3"/>
      <c r="B21" s="152"/>
      <c r="C21" s="146" t="s">
        <v>109</v>
      </c>
      <c r="D21" s="61"/>
      <c r="E21" s="91" t="str">
        <f>' Risk Appetite'!H23</f>
        <v>Low</v>
      </c>
      <c r="F21" s="76"/>
    </row>
    <row r="22" spans="1:6" ht="16.2" thickTop="1" thickBot="1">
      <c r="A22" s="3"/>
      <c r="B22" s="152"/>
      <c r="C22" s="148" t="s">
        <v>110</v>
      </c>
      <c r="D22" s="61"/>
      <c r="E22" s="91" t="str">
        <f>' Risk Appetite'!H24</f>
        <v>Low</v>
      </c>
      <c r="F22" s="76"/>
    </row>
    <row r="23" spans="1:6" ht="16.2" thickTop="1" thickBot="1">
      <c r="A23" s="3"/>
      <c r="B23" s="152"/>
      <c r="C23" s="146" t="s">
        <v>120</v>
      </c>
      <c r="D23" s="61"/>
      <c r="E23" s="91" t="str">
        <f>' Risk Appetite'!H25</f>
        <v>Moderate</v>
      </c>
      <c r="F23" s="76"/>
    </row>
    <row r="24" spans="1:6" ht="16.2" thickTop="1" thickBot="1">
      <c r="A24" s="3"/>
      <c r="B24" s="152"/>
      <c r="C24" s="148" t="s">
        <v>121</v>
      </c>
      <c r="D24" s="61"/>
      <c r="E24" s="91" t="str">
        <f>' Risk Appetite'!H26</f>
        <v>Moderate</v>
      </c>
      <c r="F24" s="76"/>
    </row>
    <row r="25" spans="1:6" ht="16.2" thickTop="1" thickBot="1">
      <c r="A25" s="3"/>
      <c r="B25" s="56"/>
      <c r="C25" s="61"/>
      <c r="D25" s="61"/>
      <c r="E25" s="76"/>
      <c r="F25" s="76"/>
    </row>
    <row r="26" spans="1:6" ht="16.2" customHeight="1" thickTop="1" thickBot="1">
      <c r="A26" s="3"/>
      <c r="B26" s="153" t="s">
        <v>124</v>
      </c>
      <c r="C26" s="146" t="s">
        <v>126</v>
      </c>
      <c r="D26" s="61"/>
      <c r="E26" s="91" t="str">
        <f>' Risk Appetite'!H28</f>
        <v>High</v>
      </c>
      <c r="F26" s="76"/>
    </row>
    <row r="27" spans="1:6" ht="16.2" thickTop="1" thickBot="1">
      <c r="A27" s="3"/>
      <c r="B27" s="154"/>
      <c r="C27" s="148" t="s">
        <v>129</v>
      </c>
      <c r="D27" s="61"/>
      <c r="E27" s="91" t="str">
        <f>' Risk Appetite'!H29</f>
        <v>High</v>
      </c>
      <c r="F27" s="76"/>
    </row>
    <row r="28" spans="1:6" ht="16.2" thickTop="1" thickBot="1">
      <c r="A28" s="3"/>
      <c r="B28" s="154"/>
      <c r="C28" s="148" t="s">
        <v>132</v>
      </c>
      <c r="D28" s="61"/>
      <c r="E28" s="91" t="str">
        <f>' Risk Appetite'!H30</f>
        <v>Low</v>
      </c>
      <c r="F28" s="76"/>
    </row>
    <row r="29" spans="1:6" ht="16.2" thickTop="1" thickBot="1">
      <c r="A29" s="3"/>
      <c r="B29" s="154"/>
      <c r="C29" s="146" t="s">
        <v>135</v>
      </c>
      <c r="D29" s="61"/>
      <c r="E29" s="91" t="str">
        <f>' Risk Appetite'!H31</f>
        <v>Low</v>
      </c>
      <c r="F29" s="76"/>
    </row>
    <row r="30" spans="1:6" ht="13.5" thickTop="1" thickBot="1">
      <c r="A30" s="3"/>
      <c r="B30" s="154"/>
      <c r="C30" s="146" t="s">
        <v>138</v>
      </c>
      <c r="D30" s="105"/>
      <c r="E30" s="91" t="str">
        <f>' Risk Appetite'!H32</f>
        <v>High</v>
      </c>
      <c r="F30" s="76"/>
    </row>
    <row r="31" spans="1:6" ht="16.2" thickTop="1" thickBot="1">
      <c r="A31" s="3"/>
      <c r="B31" s="154"/>
      <c r="C31" s="148" t="s">
        <v>141</v>
      </c>
      <c r="D31" s="61"/>
      <c r="E31" s="91" t="str">
        <f>' Risk Appetite'!H33</f>
        <v>High</v>
      </c>
      <c r="F31" s="76"/>
    </row>
    <row r="32" spans="1:6" ht="16.2" thickTop="1" thickBot="1">
      <c r="A32" s="3"/>
      <c r="B32" s="154"/>
      <c r="C32" s="146" t="s">
        <v>144</v>
      </c>
      <c r="D32" s="61"/>
      <c r="E32" s="91" t="str">
        <f>' Risk Appetite'!H34</f>
        <v>Low</v>
      </c>
      <c r="F32" s="76"/>
    </row>
    <row r="33" spans="1:6" ht="16.2" thickTop="1" thickBot="1">
      <c r="A33" s="3"/>
      <c r="B33" s="154"/>
      <c r="C33" s="148" t="s">
        <v>147</v>
      </c>
      <c r="D33" s="61"/>
      <c r="E33" s="91" t="str">
        <f>' Risk Appetite'!H35</f>
        <v>Low</v>
      </c>
      <c r="F33" s="76"/>
    </row>
    <row r="34" spans="1:6" ht="16.2" thickTop="1" thickBot="1">
      <c r="A34" s="3"/>
      <c r="B34" s="154"/>
      <c r="C34" s="146" t="s">
        <v>150</v>
      </c>
      <c r="D34" s="61"/>
      <c r="E34" s="91" t="str">
        <f>' Risk Appetite'!H36</f>
        <v>Moderate</v>
      </c>
      <c r="F34" s="76"/>
    </row>
    <row r="35" spans="1:6" ht="16.2" thickTop="1" thickBot="1">
      <c r="A35" s="3"/>
      <c r="B35" s="154"/>
      <c r="C35" s="148" t="s">
        <v>153</v>
      </c>
      <c r="D35" s="61"/>
      <c r="E35" s="91" t="str">
        <f>' Risk Appetite'!H37</f>
        <v>Moderate</v>
      </c>
      <c r="F35" s="76"/>
    </row>
    <row r="36" spans="1:6" ht="16.2" thickTop="1" thickBot="1">
      <c r="A36" s="3"/>
      <c r="B36" s="154"/>
      <c r="C36" s="148" t="s">
        <v>156</v>
      </c>
      <c r="D36" s="61"/>
      <c r="E36" s="91" t="str">
        <f>' Risk Appetite'!H38</f>
        <v>Moderate</v>
      </c>
      <c r="F36" s="76"/>
    </row>
    <row r="37" spans="1:6" ht="16.2" thickTop="1" thickBot="1">
      <c r="A37" s="3"/>
      <c r="B37" s="154"/>
      <c r="C37" s="146" t="s">
        <v>159</v>
      </c>
      <c r="D37" s="61"/>
      <c r="E37" s="91" t="str">
        <f>' Risk Appetite'!H39</f>
        <v>Moderate</v>
      </c>
      <c r="F37" s="76"/>
    </row>
    <row r="38" spans="1:6" ht="16.2" thickTop="1" thickBot="1">
      <c r="A38" s="3"/>
      <c r="B38" s="154"/>
      <c r="C38" s="146" t="s">
        <v>162</v>
      </c>
      <c r="D38" s="61"/>
      <c r="E38" s="91" t="str">
        <f>' Risk Appetite'!H40</f>
        <v>Low</v>
      </c>
      <c r="F38" s="76"/>
    </row>
    <row r="39" spans="1:6" ht="16.2" thickTop="1" thickBot="1">
      <c r="A39" s="3"/>
      <c r="B39" s="154"/>
      <c r="C39" s="148" t="s">
        <v>165</v>
      </c>
      <c r="D39" s="61"/>
      <c r="E39" s="91" t="str">
        <f>' Risk Appetite'!H41</f>
        <v>Low</v>
      </c>
      <c r="F39" s="76"/>
    </row>
    <row r="40" spans="1:6" ht="16.2" thickTop="1" thickBot="1">
      <c r="A40" s="3"/>
      <c r="B40" s="154"/>
      <c r="C40" s="146" t="s">
        <v>168</v>
      </c>
      <c r="D40" s="61"/>
      <c r="E40" s="91" t="str">
        <f>' Risk Appetite'!H42</f>
        <v>Low</v>
      </c>
      <c r="F40" s="76"/>
    </row>
    <row r="41" spans="1:6" ht="16.2" thickTop="1" thickBot="1">
      <c r="A41" s="3"/>
      <c r="B41" s="154"/>
      <c r="C41" s="148" t="s">
        <v>171</v>
      </c>
      <c r="D41" s="61"/>
      <c r="E41" s="91" t="str">
        <f>' Risk Appetite'!H43</f>
        <v>Moderate</v>
      </c>
      <c r="F41" s="76"/>
    </row>
    <row r="42" spans="1:6" ht="16.2" thickTop="1" thickBot="1">
      <c r="A42" s="3"/>
      <c r="B42" s="154"/>
      <c r="C42" s="146" t="s">
        <v>174</v>
      </c>
      <c r="D42" s="61"/>
      <c r="E42" s="91" t="str">
        <f>' Risk Appetite'!H44</f>
        <v>Low</v>
      </c>
      <c r="F42" s="76"/>
    </row>
    <row r="43" spans="1:6" ht="16.2" thickTop="1" thickBot="1">
      <c r="A43" s="3"/>
      <c r="B43" s="155"/>
      <c r="C43" s="146" t="s">
        <v>177</v>
      </c>
      <c r="D43" s="61"/>
      <c r="E43" s="91" t="str">
        <f>' Risk Appetite'!H45</f>
        <v>Low</v>
      </c>
      <c r="F43" s="76"/>
    </row>
    <row r="44" spans="1:6" ht="31.5" customHeight="1" thickBot="1">
      <c r="A44" s="3"/>
      <c r="B44" s="56"/>
      <c r="C44" s="61"/>
      <c r="D44" s="61"/>
      <c r="E44" s="76"/>
      <c r="F44" s="76"/>
    </row>
    <row r="45" spans="1:6" ht="31.5" customHeight="1" thickTop="1" thickBot="1">
      <c r="A45" s="3"/>
      <c r="B45" s="160" t="s">
        <v>209</v>
      </c>
      <c r="C45" s="146" t="s">
        <v>211</v>
      </c>
      <c r="D45" s="105"/>
      <c r="E45" s="91" t="str">
        <f>' Risk Appetite'!H47</f>
        <v>High</v>
      </c>
      <c r="F45" s="76"/>
    </row>
    <row r="46" spans="1:6" ht="31.5" customHeight="1" thickTop="1" thickBot="1">
      <c r="A46" s="3"/>
      <c r="B46" s="161"/>
      <c r="C46" s="148" t="s">
        <v>214</v>
      </c>
      <c r="D46" s="105"/>
      <c r="E46" s="91" t="str">
        <f>' Risk Appetite'!H48</f>
        <v>Moderate</v>
      </c>
      <c r="F46" s="76"/>
    </row>
    <row r="47" spans="1:6" ht="31.5" customHeight="1" thickTop="1" thickBot="1">
      <c r="A47" s="3"/>
      <c r="B47" s="161"/>
      <c r="C47" s="148" t="s">
        <v>217</v>
      </c>
      <c r="D47" s="105"/>
      <c r="E47" s="91" t="str">
        <f>' Risk Appetite'!H49</f>
        <v>Moderate</v>
      </c>
      <c r="F47" s="76"/>
    </row>
    <row r="48" spans="1:6" ht="31.5" customHeight="1" thickTop="1" thickBot="1">
      <c r="A48" s="3"/>
      <c r="B48" s="161"/>
      <c r="C48" s="146" t="s">
        <v>220</v>
      </c>
      <c r="D48" s="106"/>
      <c r="E48" s="91" t="str">
        <f>' Risk Appetite'!H50</f>
        <v>Moderate</v>
      </c>
      <c r="F48" s="76"/>
    </row>
    <row r="49" spans="1:6" ht="31.5" customHeight="1" thickTop="1" thickBot="1">
      <c r="A49" s="3"/>
      <c r="B49" s="161"/>
      <c r="C49" s="146" t="s">
        <v>223</v>
      </c>
      <c r="D49" s="105"/>
      <c r="E49" s="91" t="str">
        <f>' Risk Appetite'!H51</f>
        <v>Moderate</v>
      </c>
      <c r="F49" s="76"/>
    </row>
    <row r="50" spans="1:6" ht="31.5" customHeight="1" thickTop="1" thickBot="1">
      <c r="A50" s="3"/>
      <c r="B50" s="162"/>
      <c r="C50" s="148" t="s">
        <v>226</v>
      </c>
      <c r="D50" s="61"/>
      <c r="E50" s="91" t="str">
        <f>' Risk Appetite'!H52</f>
        <v>Moderate</v>
      </c>
      <c r="F50" s="76"/>
    </row>
    <row r="51" spans="1:6" ht="15.6">
      <c r="A51" s="3"/>
      <c r="B51" s="1"/>
      <c r="C51" s="2"/>
      <c r="D51" s="2"/>
      <c r="E51" s="2"/>
      <c r="F51" s="2"/>
    </row>
    <row r="52" spans="1:6" ht="18.3">
      <c r="A52" s="8"/>
      <c r="B52" s="53" t="str">
        <f>IF(A52=1,IF(#REF!&lt;43,"Please complete the mandatory questions - " &amp;#REF!,""),"")</f>
        <v/>
      </c>
    </row>
    <row r="53" spans="1:6" ht="18.3">
      <c r="A53" s="3"/>
      <c r="B53" s="54"/>
      <c r="C53" s="54"/>
      <c r="D53" s="54"/>
      <c r="E53" s="54"/>
      <c r="F53" s="54"/>
    </row>
    <row r="54" spans="1:6" ht="18.3">
      <c r="A54" s="3"/>
      <c r="B54" s="54"/>
      <c r="C54" s="54"/>
      <c r="D54" s="54"/>
      <c r="E54" s="54"/>
      <c r="F54" s="54"/>
    </row>
    <row r="55" spans="1:6" ht="18.75" customHeight="1"/>
  </sheetData>
  <mergeCells count="4">
    <mergeCell ref="B6:B15"/>
    <mergeCell ref="B17:B24"/>
    <mergeCell ref="B26:B43"/>
    <mergeCell ref="B45:B50"/>
  </mergeCells>
  <conditionalFormatting sqref="E6:F15 E17:F24 E26:F43 E45:F50">
    <cfRule type="beginsWith" dxfId="19" priority="16" operator="beginsWith" text="Low">
      <formula>LEFT(E6,LEN("Low"))="Low"</formula>
    </cfRule>
    <cfRule type="beginsWith" dxfId="18" priority="17" operator="beginsWith" text="Very low">
      <formula>LEFT(E6,LEN("Very low"))="Very low"</formula>
    </cfRule>
    <cfRule type="beginsWith" dxfId="17" priority="18" operator="beginsWith" text="Very high">
      <formula>LEFT(E6,LEN("Very high"))="Very high"</formula>
    </cfRule>
    <cfRule type="beginsWith" dxfId="16" priority="19" operator="beginsWith" text="High">
      <formula>LEFT(E6,LEN("High"))="High"</formula>
    </cfRule>
    <cfRule type="beginsWith" dxfId="15" priority="20" operator="beginsWith" text="Moderate">
      <formula>LEFT(E6,LEN("Moderate"))="Moderate"</formula>
    </cfRule>
  </conditionalFormatting>
  <conditionalFormatting sqref="E16:F16">
    <cfRule type="beginsWith" dxfId="14" priority="11" operator="beginsWith" text="Low">
      <formula>LEFT(E16,LEN("Low"))="Low"</formula>
    </cfRule>
    <cfRule type="beginsWith" dxfId="13" priority="12" operator="beginsWith" text="Very low">
      <formula>LEFT(E16,LEN("Very low"))="Very low"</formula>
    </cfRule>
    <cfRule type="beginsWith" dxfId="12" priority="13" operator="beginsWith" text="Very high">
      <formula>LEFT(E16,LEN("Very high"))="Very high"</formula>
    </cfRule>
    <cfRule type="beginsWith" dxfId="11" priority="14" operator="beginsWith" text="High">
      <formula>LEFT(E16,LEN("High"))="High"</formula>
    </cfRule>
    <cfRule type="beginsWith" dxfId="10" priority="15" operator="beginsWith" text="Moderate">
      <formula>LEFT(E16,LEN("Moderate"))="Moderate"</formula>
    </cfRule>
  </conditionalFormatting>
  <conditionalFormatting sqref="E25:F25">
    <cfRule type="beginsWith" dxfId="9" priority="6" operator="beginsWith" text="Low">
      <formula>LEFT(E25,LEN("Low"))="Low"</formula>
    </cfRule>
    <cfRule type="beginsWith" dxfId="8" priority="7" operator="beginsWith" text="Very low">
      <formula>LEFT(E25,LEN("Very low"))="Very low"</formula>
    </cfRule>
    <cfRule type="beginsWith" dxfId="7" priority="8" operator="beginsWith" text="Very high">
      <formula>LEFT(E25,LEN("Very high"))="Very high"</formula>
    </cfRule>
    <cfRule type="beginsWith" dxfId="6" priority="9" operator="beginsWith" text="High">
      <formula>LEFT(E25,LEN("High"))="High"</formula>
    </cfRule>
    <cfRule type="beginsWith" dxfId="5" priority="10" operator="beginsWith" text="Moderate">
      <formula>LEFT(E25,LEN("Moderate"))="Moderate"</formula>
    </cfRule>
  </conditionalFormatting>
  <conditionalFormatting sqref="E44:F44">
    <cfRule type="beginsWith" dxfId="4" priority="1" operator="beginsWith" text="Low">
      <formula>LEFT(E44,LEN("Low"))="Low"</formula>
    </cfRule>
    <cfRule type="beginsWith" dxfId="3" priority="2" operator="beginsWith" text="Very low">
      <formula>LEFT(E44,LEN("Very low"))="Very low"</formula>
    </cfRule>
    <cfRule type="beginsWith" dxfId="2" priority="3" operator="beginsWith" text="Very high">
      <formula>LEFT(E44,LEN("Very high"))="Very high"</formula>
    </cfRule>
    <cfRule type="beginsWith" dxfId="1" priority="4" operator="beginsWith" text="High">
      <formula>LEFT(E44,LEN("High"))="High"</formula>
    </cfRule>
    <cfRule type="beginsWith" dxfId="0" priority="5" operator="beginsWith" text="Moderate">
      <formula>LEFT(E44,LEN("Moderate"))="Moderate"</formula>
    </cfRule>
  </conditionalFormatting>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N47"/>
  <sheetViews>
    <sheetView workbookViewId="0">
      <selection activeCell="O34" sqref="O34"/>
    </sheetView>
  </sheetViews>
  <sheetFormatPr defaultRowHeight="12.3"/>
  <cols>
    <col min="1" max="1" width="17.27734375" customWidth="1"/>
    <col min="9" max="9" width="11.44140625" bestFit="1" customWidth="1"/>
    <col min="10" max="10" width="9.1640625" style="78"/>
  </cols>
  <sheetData>
    <row r="1" spans="1:14">
      <c r="A1" s="77" t="s">
        <v>68</v>
      </c>
    </row>
    <row r="2" spans="1:14" ht="27">
      <c r="A2" s="77" t="s">
        <v>25</v>
      </c>
      <c r="B2">
        <v>5</v>
      </c>
      <c r="D2" s="111" t="s">
        <v>96</v>
      </c>
    </row>
    <row r="3" spans="1:14">
      <c r="A3" s="77" t="s">
        <v>66</v>
      </c>
      <c r="B3">
        <v>4</v>
      </c>
    </row>
    <row r="4" spans="1:14">
      <c r="A4" s="77" t="s">
        <v>31</v>
      </c>
      <c r="B4">
        <v>3</v>
      </c>
    </row>
    <row r="5" spans="1:14">
      <c r="A5" s="77" t="s">
        <v>67</v>
      </c>
      <c r="B5">
        <v>2</v>
      </c>
    </row>
    <row r="6" spans="1:14">
      <c r="A6" s="77" t="s">
        <v>38</v>
      </c>
      <c r="B6">
        <v>1</v>
      </c>
    </row>
    <row r="12" spans="1:14">
      <c r="A12" s="77" t="s">
        <v>69</v>
      </c>
    </row>
    <row r="13" spans="1:14">
      <c r="A13" s="77" t="s">
        <v>9</v>
      </c>
      <c r="B13">
        <v>5</v>
      </c>
    </row>
    <row r="14" spans="1:14">
      <c r="A14" s="77" t="s">
        <v>11</v>
      </c>
      <c r="B14">
        <v>4</v>
      </c>
    </row>
    <row r="15" spans="1:14">
      <c r="A15" s="77" t="s">
        <v>13</v>
      </c>
      <c r="B15">
        <v>3</v>
      </c>
    </row>
    <row r="16" spans="1:14">
      <c r="A16" s="77" t="s">
        <v>16</v>
      </c>
      <c r="B16">
        <v>2</v>
      </c>
      <c r="I16" s="77" t="s">
        <v>73</v>
      </c>
      <c r="J16" s="79" t="s">
        <v>78</v>
      </c>
      <c r="L16" t="s">
        <v>79</v>
      </c>
      <c r="M16" t="s">
        <v>80</v>
      </c>
      <c r="N16" t="s">
        <v>81</v>
      </c>
    </row>
    <row r="17" spans="1:13">
      <c r="A17" s="77" t="s">
        <v>0</v>
      </c>
      <c r="B17">
        <v>1</v>
      </c>
      <c r="I17" s="77" t="s">
        <v>72</v>
      </c>
      <c r="J17" s="79" t="s">
        <v>77</v>
      </c>
      <c r="L17" t="s">
        <v>73</v>
      </c>
      <c r="M17" t="s">
        <v>78</v>
      </c>
    </row>
    <row r="18" spans="1:13">
      <c r="I18" s="77" t="s">
        <v>71</v>
      </c>
      <c r="J18" s="79" t="s">
        <v>76</v>
      </c>
      <c r="L18" t="s">
        <v>72</v>
      </c>
      <c r="M18" t="s">
        <v>77</v>
      </c>
    </row>
    <row r="19" spans="1:13">
      <c r="I19" s="77" t="s">
        <v>0</v>
      </c>
      <c r="J19" s="79" t="s">
        <v>75</v>
      </c>
      <c r="L19" t="s">
        <v>71</v>
      </c>
      <c r="M19" s="80">
        <v>42309</v>
      </c>
    </row>
    <row r="20" spans="1:13">
      <c r="I20" s="77" t="s">
        <v>70</v>
      </c>
      <c r="J20" s="79" t="s">
        <v>74</v>
      </c>
      <c r="L20" t="s">
        <v>0</v>
      </c>
      <c r="M20" s="81">
        <v>41188</v>
      </c>
    </row>
    <row r="21" spans="1:13">
      <c r="A21" s="77" t="s">
        <v>82</v>
      </c>
      <c r="L21" t="s">
        <v>70</v>
      </c>
      <c r="M21" s="81">
        <v>41030</v>
      </c>
    </row>
    <row r="23" spans="1:13">
      <c r="A23">
        <v>25</v>
      </c>
      <c r="B23" s="77" t="s">
        <v>73</v>
      </c>
    </row>
    <row r="24" spans="1:13">
      <c r="A24">
        <v>24</v>
      </c>
      <c r="B24" s="77" t="s">
        <v>73</v>
      </c>
    </row>
    <row r="25" spans="1:13">
      <c r="A25">
        <v>23</v>
      </c>
      <c r="B25" s="77" t="s">
        <v>73</v>
      </c>
    </row>
    <row r="26" spans="1:13">
      <c r="A26">
        <v>22</v>
      </c>
      <c r="B26" s="77" t="s">
        <v>73</v>
      </c>
    </row>
    <row r="27" spans="1:13">
      <c r="A27">
        <v>21</v>
      </c>
      <c r="B27" s="77" t="s">
        <v>73</v>
      </c>
    </row>
    <row r="28" spans="1:13">
      <c r="A28">
        <v>20</v>
      </c>
      <c r="B28" s="77" t="s">
        <v>72</v>
      </c>
    </row>
    <row r="29" spans="1:13">
      <c r="A29">
        <v>19</v>
      </c>
      <c r="B29" s="77" t="s">
        <v>72</v>
      </c>
    </row>
    <row r="30" spans="1:13">
      <c r="A30">
        <v>18</v>
      </c>
      <c r="B30" s="77" t="s">
        <v>72</v>
      </c>
    </row>
    <row r="31" spans="1:13">
      <c r="A31">
        <v>17</v>
      </c>
      <c r="B31" s="77" t="s">
        <v>72</v>
      </c>
    </row>
    <row r="32" spans="1:13">
      <c r="A32">
        <v>16</v>
      </c>
      <c r="B32" s="77" t="s">
        <v>72</v>
      </c>
    </row>
    <row r="33" spans="1:2">
      <c r="A33">
        <v>15</v>
      </c>
      <c r="B33" s="77" t="s">
        <v>71</v>
      </c>
    </row>
    <row r="34" spans="1:2">
      <c r="A34">
        <v>14</v>
      </c>
      <c r="B34" s="77" t="s">
        <v>71</v>
      </c>
    </row>
    <row r="35" spans="1:2">
      <c r="A35">
        <v>13</v>
      </c>
      <c r="B35" s="77" t="s">
        <v>71</v>
      </c>
    </row>
    <row r="36" spans="1:2">
      <c r="A36">
        <v>12</v>
      </c>
      <c r="B36" s="77" t="s">
        <v>71</v>
      </c>
    </row>
    <row r="37" spans="1:2">
      <c r="A37">
        <v>11</v>
      </c>
      <c r="B37" s="77" t="s">
        <v>71</v>
      </c>
    </row>
    <row r="38" spans="1:2">
      <c r="A38">
        <v>10</v>
      </c>
      <c r="B38" s="77" t="s">
        <v>0</v>
      </c>
    </row>
    <row r="39" spans="1:2">
      <c r="A39">
        <v>9</v>
      </c>
      <c r="B39" s="77" t="s">
        <v>0</v>
      </c>
    </row>
    <row r="40" spans="1:2">
      <c r="A40">
        <v>8</v>
      </c>
      <c r="B40" s="77" t="s">
        <v>0</v>
      </c>
    </row>
    <row r="41" spans="1:2">
      <c r="A41">
        <v>7</v>
      </c>
      <c r="B41" s="77" t="s">
        <v>0</v>
      </c>
    </row>
    <row r="42" spans="1:2">
      <c r="A42">
        <v>6</v>
      </c>
      <c r="B42" s="77" t="s">
        <v>0</v>
      </c>
    </row>
    <row r="43" spans="1:2">
      <c r="A43">
        <v>5</v>
      </c>
      <c r="B43" s="77" t="s">
        <v>70</v>
      </c>
    </row>
    <row r="44" spans="1:2">
      <c r="A44">
        <v>4</v>
      </c>
      <c r="B44" s="77" t="s">
        <v>70</v>
      </c>
    </row>
    <row r="45" spans="1:2">
      <c r="A45">
        <v>3</v>
      </c>
      <c r="B45" s="77" t="s">
        <v>70</v>
      </c>
    </row>
    <row r="46" spans="1:2">
      <c r="A46">
        <v>2</v>
      </c>
      <c r="B46" s="77" t="s">
        <v>70</v>
      </c>
    </row>
    <row r="47" spans="1:2">
      <c r="A47">
        <v>1</v>
      </c>
      <c r="B47" s="77" t="s">
        <v>70</v>
      </c>
    </row>
  </sheetData>
  <pageMargins left="0.7" right="0.7" top="0.75" bottom="0.75" header="0.3" footer="0.3"/>
  <pageSetup paperSize="9" orientation="portrait" r:id="rId1"/>
  <ignoredErrors>
    <ignoredError sqref="J18" twoDigitTextYear="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0AFE0C3B58A1742B6B327AEE3ABC3EF" ma:contentTypeVersion="0" ma:contentTypeDescription="Create a new document." ma:contentTypeScope="" ma:versionID="763066bcbbdb1358c42994181a61ca37">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DC86ED25-2192-488A-9A59-CB89E9A050EE}">
  <ds:schemaRefs>
    <ds:schemaRef ds:uri="http://schemas.microsoft.com/sharepoint/v3/contenttype/forms"/>
  </ds:schemaRefs>
</ds:datastoreItem>
</file>

<file path=customXml/itemProps2.xml><?xml version="1.0" encoding="utf-8"?>
<ds:datastoreItem xmlns:ds="http://schemas.openxmlformats.org/officeDocument/2006/customXml" ds:itemID="{3B17C3BB-9DC5-43EA-BDFC-9259555E62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CC15449-19C0-48E0-97A6-560B2E5AE53B}">
  <ds:schemaRefs>
    <ds:schemaRef ds:uri="http://schemas.microsoft.com/office/infopath/2007/PartnerControls"/>
    <ds:schemaRef ds:uri="http://purl.org/dc/terms/"/>
    <ds:schemaRef ds:uri="http://schemas.microsoft.com/office/2006/documentManagement/types"/>
    <ds:schemaRef ds:uri="http://schemas.microsoft.com/office/2006/metadata/properties"/>
    <ds:schemaRef ds:uri="http://purl.org/dc/dcmitype/"/>
    <ds:schemaRef ds:uri="http://purl.org/dc/elements/1.1/"/>
    <ds:schemaRef ds:uri="http://www.w3.org/XML/1998/namespac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Risk Likelihood</vt:lpstr>
      <vt:lpstr>Impact Definition</vt:lpstr>
      <vt:lpstr> Risk Appetite</vt:lpstr>
      <vt:lpstr>Mitigation Descriptions</vt:lpstr>
      <vt:lpstr>Documentation Provided </vt:lpstr>
      <vt:lpstr>Summary dashboard</vt:lpstr>
      <vt:lpstr>VLookup</vt:lpstr>
      <vt:lpstr>' Risk Appetite'!Print_Area</vt:lpstr>
      <vt:lpstr>'Mitigation Descriptions'!Print_Area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Cloud Initiative Risk Analysis based on CSA v3</dc:title>
  <dc:creator>gstone@microsoft.com</dc:creator>
  <dc:description>Supporting Tool: _x000d_
 Booz MegaExcel Add-In (Version 3.0)_x000d_
 http://www.MegaExcel.com</dc:description>
  <cp:lastModifiedBy>TEJASVI.AHUJA@baruchmail.cuny.edu</cp:lastModifiedBy>
  <cp:lastPrinted>2012-11-09T06:21:09Z</cp:lastPrinted>
  <dcterms:created xsi:type="dcterms:W3CDTF">2006-01-30T14:43:31Z</dcterms:created>
  <dcterms:modified xsi:type="dcterms:W3CDTF">2024-12-09T04:37:05Z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7819&quot;&gt;&lt;version val=&quot;17839&quot;/&gt;&lt;CXlWorkbook id=&quot;1&quot;&gt;&lt;m_cxllink/&gt;&lt;/CXlWorkbook&gt;&lt;/root&gt;">
    <vt:bool>false</vt:bool>
  </property>
  <property fmtid="{D5CDD505-2E9C-101B-9397-08002B2CF9AE}" pid="3" name="ContentTypeId">
    <vt:lpwstr>0x01010040AFE0C3B58A1742B6B327AEE3ABC3EF</vt:lpwstr>
  </property>
</Properties>
</file>